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6"/>
  </bookViews>
  <sheets>
    <sheet name="DG" sheetId="1" r:id="rId1"/>
    <sheet name="ES" sheetId="6" r:id="rId2"/>
    <sheet name="Branch" sheetId="2" r:id="rId3"/>
    <sheet name="Node" sheetId="3" r:id="rId4"/>
    <sheet name="Load" sheetId="4" r:id="rId5"/>
    <sheet name="RES" sheetId="5" r:id="rId6"/>
    <sheet name="P_EX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<sst xmlns="http://schemas.openxmlformats.org/spreadsheetml/2006/main" count="130" uniqueCount="120">
  <si>
    <t>DG_index</t>
  </si>
  <si>
    <t>node_index</t>
  </si>
  <si>
    <t>Pmax</t>
  </si>
  <si>
    <t>Qmax</t>
  </si>
  <si>
    <t>Pmin</t>
  </si>
  <si>
    <t>Qmin</t>
  </si>
  <si>
    <t>RU</t>
  </si>
  <si>
    <t>RD</t>
  </si>
  <si>
    <t>C_GEN</t>
  </si>
  <si>
    <t>ES_index</t>
  </si>
  <si>
    <t>yita</t>
  </si>
  <si>
    <t>Emax</t>
  </si>
  <si>
    <t>Emin</t>
  </si>
  <si>
    <t>E0</t>
  </si>
  <si>
    <t>line_index</t>
  </si>
  <si>
    <t>f_node</t>
  </si>
  <si>
    <t>t_node</t>
  </si>
  <si>
    <t>r</t>
  </si>
  <si>
    <t>x</t>
  </si>
  <si>
    <t>P</t>
  </si>
  <si>
    <t>Q</t>
  </si>
  <si>
    <t>TP_index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</si>
  <si>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</si>
  <si>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</si>
  <si>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</si>
  <si>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</si>
  <si>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</si>
  <si>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</si>
  <si>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</si>
  <si>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</si>
  <si>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</si>
  <si>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</si>
  <si>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</si>
  <si>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</si>
  <si>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</si>
  <si>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</si>
  <si>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</si>
  <si>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</si>
  <si>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</si>
  <si>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</si>
  <si>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</si>
  <si>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</si>
  <si>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</si>
  <si>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</si>
  <si>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</si>
  <si>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</si>
  <si>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</si>
  <si>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</si>
  <si>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</si>
  <si>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</si>
  <si>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</si>
  <si>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</si>
  <si>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</si>
  <si>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</si>
  <si>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</si>
  <si>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</si>
  <si>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</si>
  <si>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</si>
  <si>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</si>
  <si>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</si>
  <si>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</si>
  <si>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</si>
  <si>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</si>
  <si>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</si>
  <si>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</si>
  <si>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</si>
  <si>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</si>
  <si>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</si>
  <si>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</si>
  <si>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</si>
  <si>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</si>
  <si>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</si>
  <si>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</si>
  <si>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</si>
  <si>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</si>
  <si>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</si>
  <si>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</si>
  <si>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</si>
  <si>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</si>
  <si>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</si>
  <si>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</si>
  <si>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</si>
  <si>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</si>
  <si>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</si>
  <si>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</si>
  <si>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</si>
  <si>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</si>
  <si>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</si>
  <si>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</si>
  <si>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</si>
  <si>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</si>
  <si>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</si>
  <si>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</si>
  <si>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</si>
  <si>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</si>
  <si>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</si>
  <si>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</si>
  <si>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</si>
  <si>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</si>
  <si>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</si>
  <si>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</si>
  <si>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</si>
  <si>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</si>
  <si>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</si>
  <si>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</si>
  <si>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</si>
  <si>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</si>
  <si>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</si>
  <si>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</si>
  <si>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</si>
  <si>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</si>
  <si>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</si>
  <si>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</si>
  <si>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</si>
  <si>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</si>
  <si>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</si>
  <si>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</si>
  <si>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</si>
  <si>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P_EX_max</t>
  </si>
  <si>
    <t>Q_EX_max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</si>
</sst>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000000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75" zoomScaleNormal="175" workbookViewId="0">
      <selection activeCell="D6" sqref="D6"/>
    </sheetView>
  </sheetViews>
  <sheetFormatPr defaultColWidth="8.875" defaultRowHeight="13.5" outlineLevelRow="3"/>
  <cols>
    <col min="2" max="2" width="11.625" customWidth="1"/>
    <col min="4" max="4" width="14.125"/>
    <col min="6" max="6" width="12.625"/>
  </cols>
  <sheetData>
    <row r="1" ht="14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4">
        <v>1</v>
      </c>
      <c r="B2" s="4">
        <v>4</v>
      </c>
      <c r="C2" s="5">
        <v>500</v>
      </c>
      <c r="D2" s="6">
        <v>500</v>
      </c>
      <c r="E2" s="5">
        <v>0</v>
      </c>
      <c r="F2" s="4">
        <v>0</v>
      </c>
      <c r="G2" s="5">
        <f>C2*1</f>
        <v>500</v>
      </c>
      <c r="H2" s="5">
        <f>G2</f>
        <v>500</v>
      </c>
      <c r="I2" s="4">
        <f>C2*0.001</f>
        <v>0.5</v>
      </c>
    </row>
    <row r="3" spans="1:9">
      <c r="A3" s="4">
        <v>2</v>
      </c>
      <c r="B3" s="4">
        <v>7</v>
      </c>
      <c r="C3" s="5">
        <v>500</v>
      </c>
      <c r="D3" s="5">
        <v>500</v>
      </c>
      <c r="E3" s="5">
        <v>0</v>
      </c>
      <c r="F3" s="4">
        <v>0</v>
      </c>
      <c r="G3" s="5">
        <f>C3*1</f>
        <v>500</v>
      </c>
      <c r="H3" s="5">
        <f>G3</f>
        <v>500</v>
      </c>
      <c r="I3" s="4">
        <f>C3*0.001</f>
        <v>0.5</v>
      </c>
    </row>
    <row r="4" ht="13" customHeight="1" spans="1:9">
      <c r="A4" s="4">
        <v>3</v>
      </c>
      <c r="B4" s="4">
        <v>14</v>
      </c>
      <c r="C4" s="5">
        <v>500</v>
      </c>
      <c r="D4" s="5">
        <v>500</v>
      </c>
      <c r="E4" s="5">
        <v>0</v>
      </c>
      <c r="F4" s="4">
        <v>0</v>
      </c>
      <c r="G4" s="5">
        <f>C4*1</f>
        <v>500</v>
      </c>
      <c r="H4" s="5">
        <f>G4</f>
        <v>500</v>
      </c>
      <c r="I4" s="4">
        <f>C4*0.001</f>
        <v>0.5</v>
      </c>
    </row>
  </sheetData>
  <sortState ref="A2:I8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45" zoomScaleNormal="145" workbookViewId="0">
      <selection activeCell="C19" sqref="C19"/>
    </sheetView>
  </sheetViews>
  <sheetFormatPr defaultColWidth="9" defaultRowHeight="13.5"/>
  <cols>
    <col min="2" max="2" width="13.125" customWidth="1"/>
    <col min="3" max="3" width="11.2083333333333" customWidth="1"/>
    <col min="4" max="4" width="11.55" customWidth="1"/>
    <col min="5" max="5" width="11.975" customWidth="1"/>
    <col min="6" max="6" width="11.125"/>
  </cols>
  <sheetData>
    <row r="1" ht="15" spans="1:9">
      <c r="A1" s="3" t="s">
        <v>9</v>
      </c>
      <c r="B1" s="3" t="s">
        <v>1</v>
      </c>
      <c r="C1" s="3" t="s">
        <v>2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6</v>
      </c>
      <c r="I1" s="3" t="s">
        <v>7</v>
      </c>
    </row>
    <row r="2" ht="15" spans="1:9">
      <c r="A2" s="3">
        <v>1</v>
      </c>
      <c r="B2" s="3">
        <v>2</v>
      </c>
      <c r="C2" s="3">
        <v>147</v>
      </c>
      <c r="D2" s="3">
        <v>0.88</v>
      </c>
      <c r="E2" s="3">
        <f>C2*10</f>
        <v>1470</v>
      </c>
      <c r="F2" s="3">
        <f t="shared" ref="F2:F11" si="0">E2*0.2</f>
        <v>294</v>
      </c>
      <c r="G2" s="3">
        <f>E2*0.5</f>
        <v>735</v>
      </c>
      <c r="H2" s="3">
        <f t="shared" ref="H2:H16" si="1">C2*0.8</f>
        <v>117.6</v>
      </c>
      <c r="I2" s="3">
        <f t="shared" ref="I2:I16" si="2">H2</f>
        <v>117.6</v>
      </c>
    </row>
    <row r="3" ht="15" spans="1:9">
      <c r="A3" s="3">
        <v>2</v>
      </c>
      <c r="B3" s="3">
        <v>4</v>
      </c>
      <c r="C3" s="3">
        <v>143</v>
      </c>
      <c r="D3" s="3">
        <v>0.82</v>
      </c>
      <c r="E3" s="3">
        <f t="shared" ref="E3:E16" si="3">C3*10</f>
        <v>1430</v>
      </c>
      <c r="F3" s="3">
        <f t="shared" si="0"/>
        <v>286</v>
      </c>
      <c r="G3" s="3">
        <f t="shared" ref="G2:G16" si="4">E3*0.5</f>
        <v>715</v>
      </c>
      <c r="H3" s="3">
        <f t="shared" si="1"/>
        <v>114.4</v>
      </c>
      <c r="I3" s="3">
        <f t="shared" si="2"/>
        <v>114.4</v>
      </c>
    </row>
    <row r="4" ht="15" spans="1:9">
      <c r="A4" s="3">
        <v>3</v>
      </c>
      <c r="B4" s="3">
        <v>6</v>
      </c>
      <c r="C4" s="3">
        <v>149</v>
      </c>
      <c r="D4" s="3">
        <v>0.92</v>
      </c>
      <c r="E4" s="3">
        <f t="shared" si="3"/>
        <v>1490</v>
      </c>
      <c r="F4" s="3">
        <f t="shared" si="0"/>
        <v>298</v>
      </c>
      <c r="G4" s="3">
        <f t="shared" si="4"/>
        <v>745</v>
      </c>
      <c r="H4" s="3">
        <f t="shared" si="1"/>
        <v>119.2</v>
      </c>
      <c r="I4" s="3">
        <f t="shared" si="2"/>
        <v>119.2</v>
      </c>
    </row>
    <row r="5" ht="15" spans="1:9">
      <c r="A5" s="3">
        <v>4</v>
      </c>
      <c r="B5" s="3">
        <v>7</v>
      </c>
      <c r="C5" s="3">
        <v>109</v>
      </c>
      <c r="D5" s="3">
        <v>0.82</v>
      </c>
      <c r="E5" s="3">
        <f t="shared" si="3"/>
        <v>1090</v>
      </c>
      <c r="F5" s="3">
        <f t="shared" si="0"/>
        <v>218</v>
      </c>
      <c r="G5" s="3">
        <f t="shared" si="4"/>
        <v>545</v>
      </c>
      <c r="H5" s="3">
        <f t="shared" si="1"/>
        <v>87.2</v>
      </c>
      <c r="I5" s="3">
        <f t="shared" si="2"/>
        <v>87.2</v>
      </c>
    </row>
    <row r="6" ht="15" spans="1:9">
      <c r="A6" s="3">
        <v>5</v>
      </c>
      <c r="B6" s="3">
        <v>8</v>
      </c>
      <c r="C6" s="3">
        <v>119</v>
      </c>
      <c r="D6" s="3">
        <v>0.94</v>
      </c>
      <c r="E6" s="3">
        <f t="shared" si="3"/>
        <v>1190</v>
      </c>
      <c r="F6" s="3">
        <f t="shared" si="0"/>
        <v>238</v>
      </c>
      <c r="G6" s="3">
        <f t="shared" si="4"/>
        <v>595</v>
      </c>
      <c r="H6" s="3">
        <f t="shared" si="1"/>
        <v>95.2</v>
      </c>
      <c r="I6" s="3">
        <f t="shared" si="2"/>
        <v>95.2</v>
      </c>
    </row>
    <row r="7" ht="15" spans="1:9">
      <c r="A7" s="3">
        <v>6</v>
      </c>
      <c r="B7" s="3">
        <v>10</v>
      </c>
      <c r="C7" s="3">
        <v>134</v>
      </c>
      <c r="D7" s="3">
        <v>0.9</v>
      </c>
      <c r="E7" s="3">
        <f t="shared" si="3"/>
        <v>1340</v>
      </c>
      <c r="F7" s="3">
        <f t="shared" si="0"/>
        <v>268</v>
      </c>
      <c r="G7" s="3">
        <f t="shared" si="4"/>
        <v>670</v>
      </c>
      <c r="H7" s="3">
        <f t="shared" si="1"/>
        <v>107.2</v>
      </c>
      <c r="I7" s="3">
        <f t="shared" si="2"/>
        <v>107.2</v>
      </c>
    </row>
    <row r="8" ht="15" spans="1:9">
      <c r="A8" s="3">
        <v>7</v>
      </c>
      <c r="B8" s="3">
        <v>11</v>
      </c>
      <c r="C8" s="3">
        <v>150</v>
      </c>
      <c r="D8" s="3">
        <v>0.84</v>
      </c>
      <c r="E8" s="3">
        <f t="shared" si="3"/>
        <v>1500</v>
      </c>
      <c r="F8" s="3">
        <f t="shared" si="0"/>
        <v>300</v>
      </c>
      <c r="G8" s="3">
        <f t="shared" si="4"/>
        <v>750</v>
      </c>
      <c r="H8" s="3">
        <f t="shared" si="1"/>
        <v>120</v>
      </c>
      <c r="I8" s="3">
        <f t="shared" si="2"/>
        <v>120</v>
      </c>
    </row>
    <row r="9" ht="15" spans="1:9">
      <c r="A9" s="3">
        <v>8</v>
      </c>
      <c r="B9" s="3">
        <v>13</v>
      </c>
      <c r="C9" s="3">
        <v>106</v>
      </c>
      <c r="D9" s="3">
        <v>0.83</v>
      </c>
      <c r="E9" s="3">
        <f t="shared" si="3"/>
        <v>1060</v>
      </c>
      <c r="F9" s="3">
        <f t="shared" si="0"/>
        <v>212</v>
      </c>
      <c r="G9" s="3">
        <f t="shared" si="4"/>
        <v>530</v>
      </c>
      <c r="H9" s="3">
        <f t="shared" si="1"/>
        <v>84.8</v>
      </c>
      <c r="I9" s="3">
        <f t="shared" si="2"/>
        <v>84.8</v>
      </c>
    </row>
    <row r="10" ht="15" spans="1:9">
      <c r="A10" s="3">
        <v>9</v>
      </c>
      <c r="B10" s="3">
        <v>15</v>
      </c>
      <c r="C10" s="3">
        <v>137</v>
      </c>
      <c r="D10" s="3">
        <v>0.85</v>
      </c>
      <c r="E10" s="3">
        <f t="shared" si="3"/>
        <v>1370</v>
      </c>
      <c r="F10" s="3">
        <f t="shared" si="0"/>
        <v>274</v>
      </c>
      <c r="G10" s="3">
        <f t="shared" si="4"/>
        <v>685</v>
      </c>
      <c r="H10" s="3">
        <f t="shared" si="1"/>
        <v>109.6</v>
      </c>
      <c r="I10" s="3">
        <f t="shared" si="2"/>
        <v>109.6</v>
      </c>
    </row>
    <row r="11" ht="15" spans="1:9">
      <c r="A11" s="3">
        <v>10</v>
      </c>
      <c r="B11" s="3">
        <v>17</v>
      </c>
      <c r="C11" s="3">
        <v>136</v>
      </c>
      <c r="D11" s="3">
        <v>0.86</v>
      </c>
      <c r="E11" s="3">
        <f t="shared" si="3"/>
        <v>1360</v>
      </c>
      <c r="F11" s="3">
        <f t="shared" si="0"/>
        <v>272</v>
      </c>
      <c r="G11" s="3">
        <f t="shared" si="4"/>
        <v>680</v>
      </c>
      <c r="H11" s="3">
        <f t="shared" si="1"/>
        <v>108.8</v>
      </c>
      <c r="I11" s="3">
        <f t="shared" si="2"/>
        <v>108.8</v>
      </c>
    </row>
    <row r="12" ht="15" spans="1:9">
      <c r="A12" s="3">
        <v>11</v>
      </c>
      <c r="B12" s="3">
        <v>19</v>
      </c>
      <c r="C12" s="3">
        <v>124</v>
      </c>
      <c r="D12" s="3">
        <v>0.93</v>
      </c>
      <c r="E12" s="3">
        <f t="shared" si="3"/>
        <v>1240</v>
      </c>
      <c r="F12" s="3">
        <f>E12*0.1</f>
        <v>124</v>
      </c>
      <c r="G12" s="3">
        <f t="shared" si="4"/>
        <v>620</v>
      </c>
      <c r="H12" s="3">
        <f t="shared" si="1"/>
        <v>99.2</v>
      </c>
      <c r="I12" s="3">
        <f t="shared" si="2"/>
        <v>99.2</v>
      </c>
    </row>
    <row r="13" ht="15" spans="1:9">
      <c r="A13" s="3">
        <v>12</v>
      </c>
      <c r="B13" s="3">
        <v>22</v>
      </c>
      <c r="C13" s="3">
        <v>122</v>
      </c>
      <c r="D13" s="3">
        <v>0.87</v>
      </c>
      <c r="E13" s="3">
        <f t="shared" si="3"/>
        <v>1220</v>
      </c>
      <c r="F13" s="3">
        <f>E13*0.1</f>
        <v>122</v>
      </c>
      <c r="G13" s="3">
        <f t="shared" si="4"/>
        <v>610</v>
      </c>
      <c r="H13" s="3">
        <f t="shared" si="1"/>
        <v>97.6</v>
      </c>
      <c r="I13" s="3">
        <f t="shared" si="2"/>
        <v>97.6</v>
      </c>
    </row>
    <row r="14" ht="15" spans="1:9">
      <c r="A14" s="3">
        <v>13</v>
      </c>
      <c r="B14" s="3">
        <v>23</v>
      </c>
      <c r="C14" s="3">
        <v>135</v>
      </c>
      <c r="D14" s="3">
        <v>0.86</v>
      </c>
      <c r="E14" s="3">
        <f t="shared" si="3"/>
        <v>1350</v>
      </c>
      <c r="F14" s="3">
        <f>E14*0.2</f>
        <v>270</v>
      </c>
      <c r="G14" s="3">
        <f t="shared" si="4"/>
        <v>675</v>
      </c>
      <c r="H14" s="3">
        <f t="shared" si="1"/>
        <v>108</v>
      </c>
      <c r="I14" s="3">
        <f t="shared" si="2"/>
        <v>108</v>
      </c>
    </row>
    <row r="15" ht="15" spans="1:9">
      <c r="A15" s="3">
        <v>14</v>
      </c>
      <c r="B15" s="3">
        <v>31</v>
      </c>
      <c r="C15" s="3">
        <v>104</v>
      </c>
      <c r="D15" s="3">
        <v>0.88</v>
      </c>
      <c r="E15" s="3">
        <f t="shared" si="3"/>
        <v>1040</v>
      </c>
      <c r="F15" s="3">
        <f>E15*0.2</f>
        <v>208</v>
      </c>
      <c r="G15" s="3">
        <f t="shared" si="4"/>
        <v>520</v>
      </c>
      <c r="H15" s="3">
        <f t="shared" si="1"/>
        <v>83.2</v>
      </c>
      <c r="I15" s="3">
        <f t="shared" si="2"/>
        <v>83.2</v>
      </c>
    </row>
    <row r="16" ht="15" spans="1:9">
      <c r="A16" s="3">
        <v>15</v>
      </c>
      <c r="B16" s="3">
        <v>33</v>
      </c>
      <c r="C16" s="3">
        <v>123</v>
      </c>
      <c r="D16" s="3">
        <v>0.88</v>
      </c>
      <c r="E16" s="3">
        <f t="shared" si="3"/>
        <v>1230</v>
      </c>
      <c r="F16" s="3">
        <f>E16*0.1</f>
        <v>123</v>
      </c>
      <c r="G16" s="3">
        <f t="shared" si="4"/>
        <v>615</v>
      </c>
      <c r="H16" s="3">
        <f t="shared" si="1"/>
        <v>98.4</v>
      </c>
      <c r="I16" s="3">
        <f t="shared" si="2"/>
        <v>98.4</v>
      </c>
    </row>
  </sheetData>
  <sortState ref="A2:I16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F1" sqref="F$1:G$1048576"/>
    </sheetView>
  </sheetViews>
  <sheetFormatPr defaultColWidth="8.875" defaultRowHeight="13.5" outlineLevelCol="6"/>
  <cols>
    <col min="1" max="1" width="11.625" customWidth="1"/>
    <col min="6" max="7" width="11.125"/>
  </cols>
  <sheetData>
    <row r="1" ht="15" spans="1:7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2</v>
      </c>
      <c r="G1" s="3" t="s">
        <v>3</v>
      </c>
    </row>
    <row r="2" ht="15" spans="1:7">
      <c r="A2" s="3">
        <v>1</v>
      </c>
      <c r="B2" s="3">
        <v>1</v>
      </c>
      <c r="C2" s="3">
        <v>2</v>
      </c>
      <c r="D2" s="3">
        <v>0.00922</v>
      </c>
      <c r="E2" s="3">
        <v>0.0047</v>
      </c>
      <c r="F2" s="3">
        <v>10000</v>
      </c>
      <c r="G2" s="3">
        <v>10000</v>
      </c>
    </row>
    <row r="3" ht="15" spans="1:7">
      <c r="A3" s="3">
        <v>2</v>
      </c>
      <c r="B3" s="3">
        <v>2</v>
      </c>
      <c r="C3" s="3">
        <v>3</v>
      </c>
      <c r="D3" s="3">
        <v>0.0493</v>
      </c>
      <c r="E3" s="3">
        <v>0.02511</v>
      </c>
      <c r="F3" s="3">
        <v>8000</v>
      </c>
      <c r="G3" s="3">
        <v>8000</v>
      </c>
    </row>
    <row r="4" ht="15" spans="1:7">
      <c r="A4" s="3">
        <v>3</v>
      </c>
      <c r="B4" s="3">
        <v>3</v>
      </c>
      <c r="C4" s="3">
        <v>4</v>
      </c>
      <c r="D4" s="3">
        <v>0.0366</v>
      </c>
      <c r="E4" s="3">
        <v>0.01864</v>
      </c>
      <c r="F4" s="3">
        <v>7500</v>
      </c>
      <c r="G4" s="3">
        <v>7500</v>
      </c>
    </row>
    <row r="5" ht="15" spans="1:7">
      <c r="A5" s="3">
        <v>4</v>
      </c>
      <c r="B5" s="3">
        <v>4</v>
      </c>
      <c r="C5" s="3">
        <v>5</v>
      </c>
      <c r="D5" s="3">
        <v>0.03811</v>
      </c>
      <c r="E5" s="3">
        <v>0.01941</v>
      </c>
      <c r="F5" s="3">
        <v>7000</v>
      </c>
      <c r="G5" s="3">
        <v>7000</v>
      </c>
    </row>
    <row r="6" ht="15" spans="1:7">
      <c r="A6" s="3">
        <v>5</v>
      </c>
      <c r="B6" s="3">
        <v>5</v>
      </c>
      <c r="C6" s="3">
        <v>6</v>
      </c>
      <c r="D6" s="3">
        <v>0.0819</v>
      </c>
      <c r="E6" s="3">
        <v>0.0707</v>
      </c>
      <c r="F6" s="3">
        <v>5000</v>
      </c>
      <c r="G6" s="3">
        <v>5000</v>
      </c>
    </row>
    <row r="7" ht="15" spans="1:7">
      <c r="A7" s="3">
        <v>6</v>
      </c>
      <c r="B7" s="3">
        <v>6</v>
      </c>
      <c r="C7" s="3">
        <v>7</v>
      </c>
      <c r="D7" s="3">
        <v>0.01872</v>
      </c>
      <c r="E7" s="3">
        <v>0.06188</v>
      </c>
      <c r="F7" s="3">
        <v>5000</v>
      </c>
      <c r="G7" s="3">
        <v>5000</v>
      </c>
    </row>
    <row r="8" ht="15" spans="1:7">
      <c r="A8" s="3">
        <v>7</v>
      </c>
      <c r="B8" s="3">
        <v>7</v>
      </c>
      <c r="C8" s="3">
        <v>8</v>
      </c>
      <c r="D8" s="3">
        <v>0.07114</v>
      </c>
      <c r="E8" s="3">
        <v>0.02351</v>
      </c>
      <c r="F8" s="3">
        <v>5000</v>
      </c>
      <c r="G8" s="3">
        <v>5000</v>
      </c>
    </row>
    <row r="9" ht="15" spans="1:7">
      <c r="A9" s="3">
        <v>8</v>
      </c>
      <c r="B9" s="3">
        <v>8</v>
      </c>
      <c r="C9" s="3">
        <v>9</v>
      </c>
      <c r="D9" s="3">
        <v>0.103</v>
      </c>
      <c r="E9" s="3">
        <v>0.074</v>
      </c>
      <c r="F9" s="3">
        <v>5000</v>
      </c>
      <c r="G9" s="3">
        <v>5000</v>
      </c>
    </row>
    <row r="10" ht="15" spans="1:7">
      <c r="A10" s="3">
        <v>9</v>
      </c>
      <c r="B10" s="3">
        <v>9</v>
      </c>
      <c r="C10" s="3">
        <v>10</v>
      </c>
      <c r="D10" s="3">
        <v>0.1044</v>
      </c>
      <c r="E10" s="3">
        <v>0.074</v>
      </c>
      <c r="F10" s="3">
        <v>5000</v>
      </c>
      <c r="G10" s="3">
        <v>5000</v>
      </c>
    </row>
    <row r="11" ht="15" spans="1:7">
      <c r="A11" s="3">
        <v>10</v>
      </c>
      <c r="B11" s="3">
        <v>10</v>
      </c>
      <c r="C11" s="3">
        <v>11</v>
      </c>
      <c r="D11" s="3">
        <v>0.01966</v>
      </c>
      <c r="E11" s="3">
        <v>0.0065</v>
      </c>
      <c r="F11" s="3">
        <v>2400</v>
      </c>
      <c r="G11" s="3">
        <v>2400</v>
      </c>
    </row>
    <row r="12" ht="15" spans="1:7">
      <c r="A12" s="3">
        <v>11</v>
      </c>
      <c r="B12" s="3">
        <v>11</v>
      </c>
      <c r="C12" s="3">
        <v>12</v>
      </c>
      <c r="D12" s="3">
        <v>0.03744</v>
      </c>
      <c r="E12" s="3">
        <v>0.01238</v>
      </c>
      <c r="F12" s="3">
        <v>2400</v>
      </c>
      <c r="G12" s="3">
        <v>2400</v>
      </c>
    </row>
    <row r="13" ht="15" spans="1:7">
      <c r="A13" s="3">
        <v>12</v>
      </c>
      <c r="B13" s="3">
        <v>12</v>
      </c>
      <c r="C13" s="3">
        <v>13</v>
      </c>
      <c r="D13" s="3">
        <v>0.1468</v>
      </c>
      <c r="E13" s="3">
        <v>0.1155</v>
      </c>
      <c r="F13" s="3">
        <v>2400</v>
      </c>
      <c r="G13" s="3">
        <v>2400</v>
      </c>
    </row>
    <row r="14" ht="15" spans="1:7">
      <c r="A14" s="3">
        <v>13</v>
      </c>
      <c r="B14" s="3">
        <v>13</v>
      </c>
      <c r="C14" s="3">
        <v>14</v>
      </c>
      <c r="D14" s="3">
        <v>0.05416</v>
      </c>
      <c r="E14" s="3">
        <v>0.07129</v>
      </c>
      <c r="F14" s="3">
        <v>2400</v>
      </c>
      <c r="G14" s="3">
        <v>2400</v>
      </c>
    </row>
    <row r="15" ht="15" spans="1:7">
      <c r="A15" s="3">
        <v>14</v>
      </c>
      <c r="B15" s="3">
        <v>14</v>
      </c>
      <c r="C15" s="3">
        <v>15</v>
      </c>
      <c r="D15" s="3">
        <v>0.0591</v>
      </c>
      <c r="E15" s="3">
        <v>0.0526</v>
      </c>
      <c r="F15" s="3">
        <v>2400</v>
      </c>
      <c r="G15" s="3">
        <v>2400</v>
      </c>
    </row>
    <row r="16" ht="15" spans="1:7">
      <c r="A16" s="3">
        <v>15</v>
      </c>
      <c r="B16" s="3">
        <v>15</v>
      </c>
      <c r="C16" s="3">
        <v>16</v>
      </c>
      <c r="D16" s="3">
        <v>0.07463</v>
      </c>
      <c r="E16" s="3">
        <v>0.0545</v>
      </c>
      <c r="F16" s="3">
        <v>2400</v>
      </c>
      <c r="G16" s="3">
        <v>2400</v>
      </c>
    </row>
    <row r="17" ht="15" spans="1:7">
      <c r="A17" s="3">
        <v>16</v>
      </c>
      <c r="B17" s="3">
        <v>16</v>
      </c>
      <c r="C17" s="3">
        <v>17</v>
      </c>
      <c r="D17" s="3">
        <v>0.1289</v>
      </c>
      <c r="E17" s="3">
        <v>0.1721</v>
      </c>
      <c r="F17" s="3">
        <v>2400</v>
      </c>
      <c r="G17" s="3">
        <v>2400</v>
      </c>
    </row>
    <row r="18" ht="15" spans="1:7">
      <c r="A18" s="3">
        <v>17</v>
      </c>
      <c r="B18" s="3">
        <v>17</v>
      </c>
      <c r="C18" s="3">
        <v>18</v>
      </c>
      <c r="D18" s="3">
        <v>0.0732</v>
      </c>
      <c r="E18" s="3">
        <v>0.0574</v>
      </c>
      <c r="F18" s="3">
        <v>2400</v>
      </c>
      <c r="G18" s="3">
        <v>2400</v>
      </c>
    </row>
    <row r="19" ht="15" spans="1:7">
      <c r="A19" s="3">
        <v>18</v>
      </c>
      <c r="B19" s="3">
        <v>2</v>
      </c>
      <c r="C19" s="3">
        <v>19</v>
      </c>
      <c r="D19" s="3">
        <v>0.0164</v>
      </c>
      <c r="E19" s="3">
        <v>0.01565</v>
      </c>
      <c r="F19" s="3">
        <v>2400</v>
      </c>
      <c r="G19" s="3">
        <v>2400</v>
      </c>
    </row>
    <row r="20" ht="15" spans="1:7">
      <c r="A20" s="3">
        <v>19</v>
      </c>
      <c r="B20" s="3">
        <v>19</v>
      </c>
      <c r="C20" s="3">
        <v>20</v>
      </c>
      <c r="D20" s="3">
        <v>0.15042</v>
      </c>
      <c r="E20" s="3">
        <v>0.13554</v>
      </c>
      <c r="F20" s="3">
        <v>2400</v>
      </c>
      <c r="G20" s="3">
        <v>2400</v>
      </c>
    </row>
    <row r="21" ht="15" spans="1:7">
      <c r="A21" s="3">
        <v>20</v>
      </c>
      <c r="B21" s="3">
        <v>20</v>
      </c>
      <c r="C21" s="3">
        <v>21</v>
      </c>
      <c r="D21" s="3">
        <v>0.04095</v>
      </c>
      <c r="E21" s="3">
        <v>0.04784</v>
      </c>
      <c r="F21" s="3">
        <v>2400</v>
      </c>
      <c r="G21" s="3">
        <v>2400</v>
      </c>
    </row>
    <row r="22" ht="15" spans="1:7">
      <c r="A22" s="3">
        <v>21</v>
      </c>
      <c r="B22" s="3">
        <v>21</v>
      </c>
      <c r="C22" s="3">
        <v>22</v>
      </c>
      <c r="D22" s="3">
        <v>0.07089</v>
      </c>
      <c r="E22" s="3">
        <v>0.09373</v>
      </c>
      <c r="F22" s="3">
        <v>2400</v>
      </c>
      <c r="G22" s="3">
        <v>2400</v>
      </c>
    </row>
    <row r="23" ht="15" spans="1:7">
      <c r="A23" s="3">
        <v>22</v>
      </c>
      <c r="B23" s="3">
        <v>3</v>
      </c>
      <c r="C23" s="3">
        <v>23</v>
      </c>
      <c r="D23" s="3">
        <v>0.04512</v>
      </c>
      <c r="E23" s="3">
        <v>0.03083</v>
      </c>
      <c r="F23" s="3">
        <v>5000</v>
      </c>
      <c r="G23" s="3">
        <v>5000</v>
      </c>
    </row>
    <row r="24" ht="15" spans="1:7">
      <c r="A24" s="3">
        <v>23</v>
      </c>
      <c r="B24" s="3">
        <v>23</v>
      </c>
      <c r="C24" s="3">
        <v>24</v>
      </c>
      <c r="D24" s="3">
        <v>0.0898</v>
      </c>
      <c r="E24" s="3">
        <v>0.07091</v>
      </c>
      <c r="F24" s="3">
        <v>5000</v>
      </c>
      <c r="G24" s="3">
        <v>5000</v>
      </c>
    </row>
    <row r="25" ht="15" spans="1:7">
      <c r="A25" s="3">
        <v>24</v>
      </c>
      <c r="B25" s="3">
        <v>24</v>
      </c>
      <c r="C25" s="3">
        <v>25</v>
      </c>
      <c r="D25" s="3">
        <v>0.0896</v>
      </c>
      <c r="E25" s="3">
        <v>0.07011</v>
      </c>
      <c r="F25" s="3">
        <v>2400</v>
      </c>
      <c r="G25" s="3">
        <v>2400</v>
      </c>
    </row>
    <row r="26" ht="15" spans="1:7">
      <c r="A26" s="3">
        <v>25</v>
      </c>
      <c r="B26" s="3">
        <v>6</v>
      </c>
      <c r="C26" s="3">
        <v>26</v>
      </c>
      <c r="D26" s="3">
        <v>0.0203</v>
      </c>
      <c r="E26" s="3">
        <v>0.01034</v>
      </c>
      <c r="F26" s="3">
        <v>5000</v>
      </c>
      <c r="G26" s="3">
        <v>5000</v>
      </c>
    </row>
    <row r="27" ht="15" spans="1:7">
      <c r="A27" s="3">
        <v>26</v>
      </c>
      <c r="B27" s="3">
        <v>26</v>
      </c>
      <c r="C27" s="3">
        <v>27</v>
      </c>
      <c r="D27" s="3">
        <v>0.02842</v>
      </c>
      <c r="E27" s="3">
        <v>0.01447</v>
      </c>
      <c r="F27" s="3">
        <v>5000</v>
      </c>
      <c r="G27" s="3">
        <v>5000</v>
      </c>
    </row>
    <row r="28" ht="15" spans="1:7">
      <c r="A28" s="3">
        <v>27</v>
      </c>
      <c r="B28" s="3">
        <v>27</v>
      </c>
      <c r="C28" s="3">
        <v>28</v>
      </c>
      <c r="D28" s="3">
        <v>0.1059</v>
      </c>
      <c r="E28" s="3">
        <v>0.09337</v>
      </c>
      <c r="F28" s="3">
        <v>5000</v>
      </c>
      <c r="G28" s="3">
        <v>5000</v>
      </c>
    </row>
    <row r="29" ht="15" spans="1:7">
      <c r="A29" s="3">
        <v>28</v>
      </c>
      <c r="B29" s="3">
        <v>28</v>
      </c>
      <c r="C29" s="3">
        <v>29</v>
      </c>
      <c r="D29" s="3">
        <v>0.08042</v>
      </c>
      <c r="E29" s="3">
        <v>0.07006</v>
      </c>
      <c r="F29" s="3">
        <v>5000</v>
      </c>
      <c r="G29" s="3">
        <v>5000</v>
      </c>
    </row>
    <row r="30" ht="15" spans="1:7">
      <c r="A30" s="3">
        <v>29</v>
      </c>
      <c r="B30" s="3">
        <v>29</v>
      </c>
      <c r="C30" s="3">
        <v>30</v>
      </c>
      <c r="D30" s="3">
        <v>0.05075</v>
      </c>
      <c r="E30" s="3">
        <v>0.02585</v>
      </c>
      <c r="F30" s="3">
        <v>5000</v>
      </c>
      <c r="G30" s="3">
        <v>5000</v>
      </c>
    </row>
    <row r="31" ht="15" spans="1:7">
      <c r="A31" s="3">
        <v>30</v>
      </c>
      <c r="B31" s="3">
        <v>30</v>
      </c>
      <c r="C31" s="3">
        <v>31</v>
      </c>
      <c r="D31" s="3">
        <v>0.09744</v>
      </c>
      <c r="E31" s="3">
        <v>0.0963</v>
      </c>
      <c r="F31" s="3">
        <v>2400</v>
      </c>
      <c r="G31" s="3">
        <v>2400</v>
      </c>
    </row>
    <row r="32" ht="15" spans="1:7">
      <c r="A32" s="3">
        <v>31</v>
      </c>
      <c r="B32" s="3">
        <v>31</v>
      </c>
      <c r="C32" s="3">
        <v>32</v>
      </c>
      <c r="D32" s="3">
        <v>0.03105</v>
      </c>
      <c r="E32" s="3">
        <v>0.03619</v>
      </c>
      <c r="F32" s="3">
        <v>2400</v>
      </c>
      <c r="G32" s="3">
        <v>2400</v>
      </c>
    </row>
    <row r="33" ht="15" spans="1:7">
      <c r="A33" s="3">
        <v>32</v>
      </c>
      <c r="B33" s="3">
        <v>32</v>
      </c>
      <c r="C33" s="3">
        <v>33</v>
      </c>
      <c r="D33" s="3">
        <v>0.0341</v>
      </c>
      <c r="E33" s="3">
        <v>0.05302</v>
      </c>
      <c r="F33" s="3">
        <v>2400</v>
      </c>
      <c r="G33" s="3">
        <v>2400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F30" sqref="F30"/>
    </sheetView>
  </sheetViews>
  <sheetFormatPr defaultColWidth="8.875" defaultRowHeight="13.5" outlineLevelCol="2"/>
  <cols>
    <col min="1" max="1" width="11.625" customWidth="1"/>
  </cols>
  <sheetData>
    <row r="1" ht="15" spans="1:3">
      <c r="A1" s="3" t="s">
        <v>1</v>
      </c>
      <c r="B1" s="3" t="s">
        <v>19</v>
      </c>
      <c r="C1" s="3" t="s">
        <v>20</v>
      </c>
    </row>
    <row r="2" ht="15" spans="1:3">
      <c r="A2" s="3">
        <v>1</v>
      </c>
      <c r="B2" s="3">
        <v>0</v>
      </c>
      <c r="C2" s="3">
        <v>0</v>
      </c>
    </row>
    <row r="3" ht="15" spans="1:3">
      <c r="A3" s="3">
        <v>2</v>
      </c>
      <c r="B3" s="3">
        <v>100</v>
      </c>
      <c r="C3" s="3">
        <v>60</v>
      </c>
    </row>
    <row r="4" ht="15" spans="1:3">
      <c r="A4" s="3">
        <v>3</v>
      </c>
      <c r="B4" s="3">
        <v>90</v>
      </c>
      <c r="C4" s="3">
        <v>40</v>
      </c>
    </row>
    <row r="5" ht="15" spans="1:3">
      <c r="A5" s="3">
        <v>4</v>
      </c>
      <c r="B5" s="3">
        <v>120</v>
      </c>
      <c r="C5" s="3">
        <v>80</v>
      </c>
    </row>
    <row r="6" ht="15" spans="1:3">
      <c r="A6" s="3">
        <v>5</v>
      </c>
      <c r="B6" s="3">
        <v>60</v>
      </c>
      <c r="C6" s="3">
        <v>30</v>
      </c>
    </row>
    <row r="7" ht="15" spans="1:3">
      <c r="A7" s="3">
        <v>6</v>
      </c>
      <c r="B7" s="3">
        <v>60</v>
      </c>
      <c r="C7" s="3">
        <v>20</v>
      </c>
    </row>
    <row r="8" ht="15" spans="1:3">
      <c r="A8" s="3">
        <v>7</v>
      </c>
      <c r="B8" s="3">
        <v>200</v>
      </c>
      <c r="C8" s="3">
        <v>100</v>
      </c>
    </row>
    <row r="9" ht="15" spans="1:3">
      <c r="A9" s="3">
        <v>8</v>
      </c>
      <c r="B9" s="3">
        <v>200</v>
      </c>
      <c r="C9" s="3">
        <v>100</v>
      </c>
    </row>
    <row r="10" ht="15" spans="1:3">
      <c r="A10" s="3">
        <v>9</v>
      </c>
      <c r="B10" s="3">
        <v>60</v>
      </c>
      <c r="C10" s="3">
        <v>20</v>
      </c>
    </row>
    <row r="11" ht="15" spans="1:3">
      <c r="A11" s="3">
        <v>10</v>
      </c>
      <c r="B11" s="3">
        <v>60</v>
      </c>
      <c r="C11" s="3">
        <v>20</v>
      </c>
    </row>
    <row r="12" ht="15" spans="1:3">
      <c r="A12" s="3">
        <v>11</v>
      </c>
      <c r="B12" s="3">
        <v>45</v>
      </c>
      <c r="C12" s="3">
        <v>30</v>
      </c>
    </row>
    <row r="13" ht="15" spans="1:3">
      <c r="A13" s="3">
        <v>12</v>
      </c>
      <c r="B13" s="3">
        <v>60</v>
      </c>
      <c r="C13" s="3">
        <v>35</v>
      </c>
    </row>
    <row r="14" ht="15" spans="1:3">
      <c r="A14" s="3">
        <v>13</v>
      </c>
      <c r="B14" s="3">
        <v>60</v>
      </c>
      <c r="C14" s="3">
        <v>35</v>
      </c>
    </row>
    <row r="15" ht="15" spans="1:3">
      <c r="A15" s="3">
        <v>14</v>
      </c>
      <c r="B15" s="3">
        <v>120</v>
      </c>
      <c r="C15" s="3">
        <v>80</v>
      </c>
    </row>
    <row r="16" ht="15" spans="1:3">
      <c r="A16" s="3">
        <v>15</v>
      </c>
      <c r="B16" s="3">
        <v>60</v>
      </c>
      <c r="C16" s="3">
        <v>10</v>
      </c>
    </row>
    <row r="17" ht="15" spans="1:3">
      <c r="A17" s="3">
        <v>16</v>
      </c>
      <c r="B17" s="3">
        <v>60</v>
      </c>
      <c r="C17" s="3">
        <v>20</v>
      </c>
    </row>
    <row r="18" ht="15" spans="1:3">
      <c r="A18" s="3">
        <v>17</v>
      </c>
      <c r="B18" s="3">
        <v>60</v>
      </c>
      <c r="C18" s="3">
        <v>20</v>
      </c>
    </row>
    <row r="19" ht="15" spans="1:3">
      <c r="A19" s="3">
        <v>18</v>
      </c>
      <c r="B19" s="3">
        <v>90</v>
      </c>
      <c r="C19" s="3">
        <v>40</v>
      </c>
    </row>
    <row r="20" ht="15" spans="1:3">
      <c r="A20" s="3">
        <v>19</v>
      </c>
      <c r="B20" s="3">
        <v>90</v>
      </c>
      <c r="C20" s="3">
        <v>40</v>
      </c>
    </row>
    <row r="21" ht="15" spans="1:3">
      <c r="A21" s="3">
        <v>20</v>
      </c>
      <c r="B21" s="3">
        <v>90</v>
      </c>
      <c r="C21" s="3">
        <v>40</v>
      </c>
    </row>
    <row r="22" ht="15" spans="1:3">
      <c r="A22" s="3">
        <v>21</v>
      </c>
      <c r="B22" s="3">
        <v>90</v>
      </c>
      <c r="C22" s="3">
        <v>40</v>
      </c>
    </row>
    <row r="23" ht="15" spans="1:3">
      <c r="A23" s="3">
        <v>22</v>
      </c>
      <c r="B23" s="3">
        <v>90</v>
      </c>
      <c r="C23" s="3">
        <v>40</v>
      </c>
    </row>
    <row r="24" ht="15" spans="1:3">
      <c r="A24" s="3">
        <v>23</v>
      </c>
      <c r="B24" s="3">
        <v>90</v>
      </c>
      <c r="C24" s="3">
        <v>50</v>
      </c>
    </row>
    <row r="25" ht="15" spans="1:3">
      <c r="A25" s="3">
        <v>24</v>
      </c>
      <c r="B25" s="3">
        <v>420</v>
      </c>
      <c r="C25" s="3">
        <v>200</v>
      </c>
    </row>
    <row r="26" ht="15" spans="1:3">
      <c r="A26" s="3">
        <v>25</v>
      </c>
      <c r="B26" s="3">
        <v>420</v>
      </c>
      <c r="C26" s="3">
        <v>200</v>
      </c>
    </row>
    <row r="27" ht="15" spans="1:3">
      <c r="A27" s="3">
        <v>26</v>
      </c>
      <c r="B27" s="3">
        <v>60</v>
      </c>
      <c r="C27" s="3">
        <v>25</v>
      </c>
    </row>
    <row r="28" ht="15" spans="1:3">
      <c r="A28" s="3">
        <v>27</v>
      </c>
      <c r="B28" s="3">
        <v>60</v>
      </c>
      <c r="C28" s="3">
        <v>25</v>
      </c>
    </row>
    <row r="29" ht="15" spans="1:3">
      <c r="A29" s="3">
        <v>28</v>
      </c>
      <c r="B29" s="3">
        <v>60</v>
      </c>
      <c r="C29" s="3">
        <v>20</v>
      </c>
    </row>
    <row r="30" ht="15" spans="1:3">
      <c r="A30" s="3">
        <v>29</v>
      </c>
      <c r="B30" s="3">
        <v>120</v>
      </c>
      <c r="C30" s="3">
        <v>70</v>
      </c>
    </row>
    <row r="31" ht="15" spans="1:3">
      <c r="A31" s="3">
        <v>30</v>
      </c>
      <c r="B31" s="3">
        <v>200</v>
      </c>
      <c r="C31" s="3">
        <v>600</v>
      </c>
    </row>
    <row r="32" ht="15" spans="1:3">
      <c r="A32" s="3">
        <v>31</v>
      </c>
      <c r="B32" s="3">
        <v>150</v>
      </c>
      <c r="C32" s="3">
        <v>70</v>
      </c>
    </row>
    <row r="33" ht="15" spans="1:3">
      <c r="A33" s="3">
        <v>32</v>
      </c>
      <c r="B33" s="3">
        <v>210</v>
      </c>
      <c r="C33" s="3">
        <v>100</v>
      </c>
    </row>
    <row r="34" ht="15" spans="1:3">
      <c r="A34" s="3">
        <v>33</v>
      </c>
      <c r="B34" s="3">
        <v>60</v>
      </c>
      <c r="C34" s="3">
        <v>40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zoomScale="115" zoomScaleNormal="115" topLeftCell="A73" workbookViewId="0">
      <selection activeCell="B2" sqref="B2:B97"/>
    </sheetView>
  </sheetViews>
  <sheetFormatPr defaultColWidth="9" defaultRowHeight="13.5" outlineLevelCol="2"/>
  <cols>
    <col min="2" max="3" width="11.125"/>
  </cols>
  <sheetData>
    <row r="1" ht="15" spans="1:3">
      <c r="A1" s="3" t="s">
        <v>21</v>
      </c>
      <c r="B1" s="3" t="s">
        <v>19</v>
      </c>
      <c r="C1" s="3" t="s">
        <v>20</v>
      </c>
    </row>
    <row r="2" ht="15" spans="1:3">
      <c r="A2" s="3">
        <v>1</v>
      </c>
      <c r="B2" s="3">
        <f>C2/0.8</f>
        <v>892.1798991</v>
      </c>
      <c r="C2" s="3">
        <v>713.74391928</v>
      </c>
    </row>
    <row r="3" ht="15" spans="1:3">
      <c r="A3" s="3">
        <v>2</v>
      </c>
      <c r="B3" s="3">
        <f t="shared" ref="B3:B34" si="0">C3/0.8</f>
        <v>889.6222188</v>
      </c>
      <c r="C3" s="3">
        <v>711.69777504</v>
      </c>
    </row>
    <row r="4" ht="15" spans="1:3">
      <c r="A4" s="3">
        <v>3</v>
      </c>
      <c r="B4" s="3">
        <f t="shared" si="0"/>
        <v>886.6116309</v>
      </c>
      <c r="C4" s="3">
        <v>709.28930472</v>
      </c>
    </row>
    <row r="5" ht="15" spans="1:3">
      <c r="A5" s="3">
        <v>4</v>
      </c>
      <c r="B5" s="3">
        <f t="shared" si="0"/>
        <v>885.523011</v>
      </c>
      <c r="C5" s="3">
        <v>708.4184088</v>
      </c>
    </row>
    <row r="6" ht="15" spans="1:3">
      <c r="A6" s="3">
        <v>5</v>
      </c>
      <c r="B6" s="3">
        <f t="shared" si="0"/>
        <v>885.8583795</v>
      </c>
      <c r="C6" s="3">
        <v>708.6867036</v>
      </c>
    </row>
    <row r="7" ht="15" spans="1:3">
      <c r="A7" s="3">
        <v>6</v>
      </c>
      <c r="B7" s="3">
        <f t="shared" si="0"/>
        <v>881.2900986</v>
      </c>
      <c r="C7" s="3">
        <v>705.03207888</v>
      </c>
    </row>
    <row r="8" ht="15" spans="1:3">
      <c r="A8" s="3">
        <v>7</v>
      </c>
      <c r="B8" s="3">
        <f t="shared" si="0"/>
        <v>881.1613446</v>
      </c>
      <c r="C8" s="3">
        <v>704.92907568</v>
      </c>
    </row>
    <row r="9" ht="15" spans="1:3">
      <c r="A9" s="3">
        <v>8</v>
      </c>
      <c r="B9" s="3">
        <f t="shared" si="0"/>
        <v>884.5676841</v>
      </c>
      <c r="C9" s="3">
        <v>707.65414728</v>
      </c>
    </row>
    <row r="10" ht="15" spans="1:3">
      <c r="A10" s="3">
        <v>9</v>
      </c>
      <c r="B10" s="3">
        <f t="shared" si="0"/>
        <v>883.8158301</v>
      </c>
      <c r="C10" s="3">
        <v>707.05266408</v>
      </c>
    </row>
    <row r="11" ht="15" spans="1:3">
      <c r="A11" s="3">
        <v>10</v>
      </c>
      <c r="B11" s="3">
        <f t="shared" si="0"/>
        <v>881.7341604</v>
      </c>
      <c r="C11" s="3">
        <v>705.38732832</v>
      </c>
    </row>
    <row r="12" ht="15" spans="1:3">
      <c r="A12" s="3">
        <v>11</v>
      </c>
      <c r="B12" s="3">
        <f t="shared" si="0"/>
        <v>883.1375937</v>
      </c>
      <c r="C12" s="3">
        <v>706.51007496</v>
      </c>
    </row>
    <row r="13" ht="15" spans="1:3">
      <c r="A13" s="3">
        <v>12</v>
      </c>
      <c r="B13" s="3">
        <f t="shared" si="0"/>
        <v>882.2130156</v>
      </c>
      <c r="C13" s="3">
        <v>705.77041248</v>
      </c>
    </row>
    <row r="14" ht="15" spans="1:3">
      <c r="A14" s="3">
        <v>13</v>
      </c>
      <c r="B14" s="3">
        <f t="shared" si="0"/>
        <v>885.1980669</v>
      </c>
      <c r="C14" s="3">
        <v>708.15845352</v>
      </c>
    </row>
    <row r="15" ht="15" spans="1:3">
      <c r="A15" s="3">
        <v>14</v>
      </c>
      <c r="B15" s="3">
        <f t="shared" si="0"/>
        <v>887.8430793</v>
      </c>
      <c r="C15" s="3">
        <v>710.27446344</v>
      </c>
    </row>
    <row r="16" ht="15" spans="1:3">
      <c r="A16" s="3">
        <v>15</v>
      </c>
      <c r="B16" s="3">
        <f t="shared" si="0"/>
        <v>891.5014656</v>
      </c>
      <c r="C16" s="3">
        <v>713.20117248</v>
      </c>
    </row>
    <row r="17" ht="15" spans="1:3">
      <c r="A17" s="3">
        <v>16</v>
      </c>
      <c r="B17" s="3">
        <f t="shared" si="0"/>
        <v>896.7894351</v>
      </c>
      <c r="C17" s="3">
        <v>717.43154808</v>
      </c>
    </row>
    <row r="18" ht="15" spans="1:3">
      <c r="A18" s="3">
        <v>17</v>
      </c>
      <c r="B18" s="3">
        <f t="shared" si="0"/>
        <v>905.4852552</v>
      </c>
      <c r="C18" s="3">
        <v>724.38820416</v>
      </c>
    </row>
    <row r="19" ht="15" spans="1:3">
      <c r="A19" s="3">
        <v>18</v>
      </c>
      <c r="B19" s="3">
        <f t="shared" si="0"/>
        <v>913.7346789</v>
      </c>
      <c r="C19" s="3">
        <v>730.98774312</v>
      </c>
    </row>
    <row r="20" ht="15" spans="1:3">
      <c r="A20" s="3">
        <v>19</v>
      </c>
      <c r="B20" s="3">
        <f t="shared" si="0"/>
        <v>923.6011227</v>
      </c>
      <c r="C20" s="3">
        <v>738.88089816</v>
      </c>
    </row>
    <row r="21" ht="15" spans="1:3">
      <c r="A21" s="3">
        <v>20</v>
      </c>
      <c r="B21" s="3">
        <f t="shared" si="0"/>
        <v>935.0403033</v>
      </c>
      <c r="C21" s="3">
        <v>748.03224264</v>
      </c>
    </row>
    <row r="22" ht="15" spans="1:3">
      <c r="A22" s="3">
        <v>21</v>
      </c>
      <c r="B22" s="3">
        <f t="shared" si="0"/>
        <v>957.2197758</v>
      </c>
      <c r="C22" s="3">
        <v>765.77582064</v>
      </c>
    </row>
    <row r="23" ht="15" spans="1:3">
      <c r="A23" s="3">
        <v>22</v>
      </c>
      <c r="B23" s="3">
        <f t="shared" si="0"/>
        <v>971.6293566</v>
      </c>
      <c r="C23" s="3">
        <v>777.30348528</v>
      </c>
    </row>
    <row r="24" ht="15" spans="1:3">
      <c r="A24" s="3">
        <v>23</v>
      </c>
      <c r="B24" s="3">
        <f t="shared" si="0"/>
        <v>988.4671416</v>
      </c>
      <c r="C24" s="3">
        <v>790.77371328</v>
      </c>
    </row>
    <row r="25" ht="15" spans="1:3">
      <c r="A25" s="3">
        <v>24</v>
      </c>
      <c r="B25" s="3">
        <f t="shared" si="0"/>
        <v>1003.1873601</v>
      </c>
      <c r="C25" s="3">
        <v>802.54988808</v>
      </c>
    </row>
    <row r="26" ht="15" spans="1:3">
      <c r="A26" s="3">
        <v>25</v>
      </c>
      <c r="B26" s="3">
        <f t="shared" si="0"/>
        <v>1024.2972552</v>
      </c>
      <c r="C26" s="3">
        <v>819.43780416</v>
      </c>
    </row>
    <row r="27" ht="15" spans="1:3">
      <c r="A27" s="3">
        <v>26</v>
      </c>
      <c r="B27" s="3">
        <f t="shared" si="0"/>
        <v>1025.9662503</v>
      </c>
      <c r="C27" s="3">
        <v>820.77300024</v>
      </c>
    </row>
    <row r="28" ht="15" spans="1:3">
      <c r="A28" s="3">
        <v>27</v>
      </c>
      <c r="B28" s="3">
        <f t="shared" si="0"/>
        <v>1027.4536272</v>
      </c>
      <c r="C28" s="3">
        <v>821.96290176</v>
      </c>
    </row>
    <row r="29" ht="15" spans="1:3">
      <c r="A29" s="3">
        <v>28</v>
      </c>
      <c r="B29" s="3">
        <f t="shared" si="0"/>
        <v>1034.6305461</v>
      </c>
      <c r="C29" s="3">
        <v>827.70443688</v>
      </c>
    </row>
    <row r="30" ht="15" spans="1:3">
      <c r="A30" s="3">
        <v>29</v>
      </c>
      <c r="B30" s="3">
        <f t="shared" si="0"/>
        <v>1057.1964471</v>
      </c>
      <c r="C30" s="3">
        <v>845.75715768</v>
      </c>
    </row>
    <row r="31" ht="15" spans="1:3">
      <c r="A31" s="3">
        <v>30</v>
      </c>
      <c r="B31" s="3">
        <f t="shared" si="0"/>
        <v>1067.9381061</v>
      </c>
      <c r="C31" s="3">
        <v>854.35048488</v>
      </c>
    </row>
    <row r="32" ht="15" spans="1:3">
      <c r="A32" s="3">
        <v>31</v>
      </c>
      <c r="B32" s="3">
        <f t="shared" si="0"/>
        <v>1076.580978</v>
      </c>
      <c r="C32" s="3">
        <v>861.2647824</v>
      </c>
    </row>
    <row r="33" ht="15" spans="1:3">
      <c r="A33" s="3">
        <v>32</v>
      </c>
      <c r="B33" s="3">
        <f t="shared" si="0"/>
        <v>1084.7069268</v>
      </c>
      <c r="C33" s="3">
        <v>867.76554144</v>
      </c>
    </row>
    <row r="34" ht="15" spans="1:3">
      <c r="A34" s="3">
        <v>33</v>
      </c>
      <c r="B34" s="3">
        <f t="shared" si="0"/>
        <v>1104.2330196</v>
      </c>
      <c r="C34" s="3">
        <v>883.38641568</v>
      </c>
    </row>
    <row r="35" ht="15" spans="1:3">
      <c r="A35" s="3">
        <v>34</v>
      </c>
      <c r="B35" s="3">
        <f t="shared" ref="B35:B66" si="1">C35/0.8</f>
        <v>1113.9362274</v>
      </c>
      <c r="C35" s="3">
        <v>891.14898192</v>
      </c>
    </row>
    <row r="36" ht="15" spans="1:3">
      <c r="A36" s="3">
        <v>35</v>
      </c>
      <c r="B36" s="3">
        <f t="shared" si="1"/>
        <v>1122.940941</v>
      </c>
      <c r="C36" s="3">
        <v>898.3527528</v>
      </c>
    </row>
    <row r="37" ht="15" spans="1:3">
      <c r="A37" s="3">
        <v>36</v>
      </c>
      <c r="B37" s="3">
        <f t="shared" si="1"/>
        <v>1132.7434182</v>
      </c>
      <c r="C37" s="3">
        <v>906.19473456</v>
      </c>
    </row>
    <row r="38" ht="15" spans="1:3">
      <c r="A38" s="3">
        <v>37</v>
      </c>
      <c r="B38" s="3">
        <f t="shared" si="1"/>
        <v>1151.4089958</v>
      </c>
      <c r="C38" s="3">
        <v>921.12719664</v>
      </c>
    </row>
    <row r="39" ht="15" spans="1:3">
      <c r="A39" s="3">
        <v>38</v>
      </c>
      <c r="B39" s="3">
        <f t="shared" si="1"/>
        <v>1161.7826772</v>
      </c>
      <c r="C39" s="3">
        <v>929.42614176</v>
      </c>
    </row>
    <row r="40" ht="15" spans="1:3">
      <c r="A40" s="3">
        <v>39</v>
      </c>
      <c r="B40" s="3">
        <f t="shared" si="1"/>
        <v>1169.7359343</v>
      </c>
      <c r="C40" s="3">
        <v>935.78874744</v>
      </c>
    </row>
    <row r="41" ht="15" spans="1:3">
      <c r="A41" s="3">
        <v>40</v>
      </c>
      <c r="B41" s="3">
        <f t="shared" si="1"/>
        <v>1177.5628548</v>
      </c>
      <c r="C41" s="3">
        <v>942.05028384</v>
      </c>
    </row>
    <row r="42" ht="15" spans="1:3">
      <c r="A42" s="3">
        <v>41</v>
      </c>
      <c r="B42" s="3">
        <f t="shared" si="1"/>
        <v>1187.8884231</v>
      </c>
      <c r="C42" s="3">
        <v>950.31073848</v>
      </c>
    </row>
    <row r="43" ht="15" spans="1:3">
      <c r="A43" s="3">
        <v>42</v>
      </c>
      <c r="B43" s="3">
        <f t="shared" si="1"/>
        <v>1195.0774446</v>
      </c>
      <c r="C43" s="3">
        <v>956.06195568</v>
      </c>
    </row>
    <row r="44" ht="15" spans="1:3">
      <c r="A44" s="3">
        <v>43</v>
      </c>
      <c r="B44" s="3">
        <f t="shared" si="1"/>
        <v>1198.5293316</v>
      </c>
      <c r="C44" s="3">
        <v>958.82346528</v>
      </c>
    </row>
    <row r="45" ht="15" spans="1:3">
      <c r="A45" s="3">
        <v>44</v>
      </c>
      <c r="B45" s="3">
        <f t="shared" si="1"/>
        <v>1202.2751652</v>
      </c>
      <c r="C45" s="3">
        <v>961.82013216</v>
      </c>
    </row>
    <row r="46" ht="15" spans="1:3">
      <c r="A46" s="3">
        <v>45</v>
      </c>
      <c r="B46" s="3">
        <f t="shared" si="1"/>
        <v>1209.4050387</v>
      </c>
      <c r="C46" s="3">
        <v>967.52403096</v>
      </c>
    </row>
    <row r="47" ht="15" spans="1:3">
      <c r="A47" s="3">
        <v>46</v>
      </c>
      <c r="B47" s="3">
        <f t="shared" si="1"/>
        <v>1214.8133604</v>
      </c>
      <c r="C47" s="3">
        <v>971.85068832</v>
      </c>
    </row>
    <row r="48" ht="15" spans="1:3">
      <c r="A48" s="3">
        <v>47</v>
      </c>
      <c r="B48" s="3">
        <f t="shared" si="1"/>
        <v>1220.7018213</v>
      </c>
      <c r="C48" s="3">
        <v>976.56145704</v>
      </c>
    </row>
    <row r="49" ht="15" spans="1:3">
      <c r="A49" s="3">
        <v>48</v>
      </c>
      <c r="B49" s="3">
        <f t="shared" si="1"/>
        <v>1224.9258711</v>
      </c>
      <c r="C49" s="3">
        <v>979.94069688</v>
      </c>
    </row>
    <row r="50" ht="15" spans="1:3">
      <c r="A50" s="3">
        <v>49</v>
      </c>
      <c r="B50" s="3">
        <f t="shared" si="1"/>
        <v>1230.6984372</v>
      </c>
      <c r="C50" s="3">
        <v>984.55874976</v>
      </c>
    </row>
    <row r="51" ht="15" spans="1:3">
      <c r="A51" s="3">
        <v>50</v>
      </c>
      <c r="B51" s="3">
        <f t="shared" si="1"/>
        <v>1229.6430819</v>
      </c>
      <c r="C51" s="3">
        <v>983.71446552</v>
      </c>
    </row>
    <row r="52" ht="15" spans="1:3">
      <c r="A52" s="3">
        <v>51</v>
      </c>
      <c r="B52" s="3">
        <f t="shared" si="1"/>
        <v>1227.5914542</v>
      </c>
      <c r="C52" s="3">
        <v>982.07316336</v>
      </c>
    </row>
    <row r="53" ht="15" spans="1:3">
      <c r="A53" s="3">
        <v>52</v>
      </c>
      <c r="B53" s="3">
        <f t="shared" si="1"/>
        <v>1221.5623644</v>
      </c>
      <c r="C53" s="3">
        <v>977.24989152</v>
      </c>
    </row>
    <row r="54" ht="15" spans="1:3">
      <c r="A54" s="3">
        <v>53</v>
      </c>
      <c r="B54" s="3">
        <f t="shared" si="1"/>
        <v>1208.0607099</v>
      </c>
      <c r="C54" s="3">
        <v>966.44856792</v>
      </c>
    </row>
    <row r="55" ht="15" spans="1:3">
      <c r="A55" s="3">
        <v>54</v>
      </c>
      <c r="B55" s="3">
        <f t="shared" si="1"/>
        <v>1203.3315915</v>
      </c>
      <c r="C55" s="3">
        <v>962.6652732</v>
      </c>
    </row>
    <row r="56" ht="15" spans="1:3">
      <c r="A56" s="3">
        <v>55</v>
      </c>
      <c r="B56" s="3">
        <f t="shared" si="1"/>
        <v>1203.0616359</v>
      </c>
      <c r="C56" s="3">
        <v>962.44930872</v>
      </c>
    </row>
    <row r="57" ht="15" spans="1:3">
      <c r="A57" s="3">
        <v>56</v>
      </c>
      <c r="B57" s="3">
        <f t="shared" si="1"/>
        <v>1210.3698114</v>
      </c>
      <c r="C57" s="3">
        <v>968.29584912</v>
      </c>
    </row>
    <row r="58" ht="15" spans="1:3">
      <c r="A58" s="3">
        <v>57</v>
      </c>
      <c r="B58" s="3">
        <f t="shared" si="1"/>
        <v>1225.1449125</v>
      </c>
      <c r="C58" s="3">
        <v>980.11593</v>
      </c>
    </row>
    <row r="59" ht="15" spans="1:3">
      <c r="A59" s="3">
        <v>58</v>
      </c>
      <c r="B59" s="3">
        <f t="shared" si="1"/>
        <v>1235.1199077</v>
      </c>
      <c r="C59" s="3">
        <v>988.09592616</v>
      </c>
    </row>
    <row r="60" ht="15" spans="1:3">
      <c r="A60" s="3">
        <v>59</v>
      </c>
      <c r="B60" s="3">
        <f t="shared" si="1"/>
        <v>1236.5912247</v>
      </c>
      <c r="C60" s="3">
        <v>989.27297976</v>
      </c>
    </row>
    <row r="61" ht="15" spans="1:3">
      <c r="A61" s="3">
        <v>60</v>
      </c>
      <c r="B61" s="3">
        <f t="shared" si="1"/>
        <v>1235.5394892</v>
      </c>
      <c r="C61" s="3">
        <v>988.43159136</v>
      </c>
    </row>
    <row r="62" ht="15" spans="1:3">
      <c r="A62" s="3">
        <v>61</v>
      </c>
      <c r="B62" s="3">
        <f t="shared" si="1"/>
        <v>1227.3951882</v>
      </c>
      <c r="C62" s="3">
        <v>981.91615056</v>
      </c>
    </row>
    <row r="63" ht="15" spans="1:3">
      <c r="A63" s="3">
        <v>62</v>
      </c>
      <c r="B63" s="3">
        <f t="shared" si="1"/>
        <v>1223.5284105</v>
      </c>
      <c r="C63" s="3">
        <v>978.8227284</v>
      </c>
    </row>
    <row r="64" ht="15" spans="1:3">
      <c r="A64" s="3">
        <v>63</v>
      </c>
      <c r="B64" s="3">
        <f t="shared" si="1"/>
        <v>1217.6449329</v>
      </c>
      <c r="C64" s="3">
        <v>974.11594632</v>
      </c>
    </row>
    <row r="65" ht="15" spans="1:3">
      <c r="A65" s="3">
        <v>64</v>
      </c>
      <c r="B65" s="3">
        <f t="shared" si="1"/>
        <v>1217.0958939</v>
      </c>
      <c r="C65" s="3">
        <v>973.67671512</v>
      </c>
    </row>
    <row r="66" ht="15" spans="1:3">
      <c r="A66" s="3">
        <v>65</v>
      </c>
      <c r="B66" s="3">
        <f t="shared" si="1"/>
        <v>1217.7874143</v>
      </c>
      <c r="C66" s="3">
        <v>974.22993144</v>
      </c>
    </row>
    <row r="67" ht="15" spans="1:3">
      <c r="A67" s="3">
        <v>66</v>
      </c>
      <c r="B67" s="3">
        <f t="shared" ref="B67:B97" si="2">C67/0.8</f>
        <v>1216.4712144</v>
      </c>
      <c r="C67" s="3">
        <v>973.17697152</v>
      </c>
    </row>
    <row r="68" ht="15" spans="1:3">
      <c r="A68" s="3">
        <v>67</v>
      </c>
      <c r="B68" s="3">
        <f t="shared" si="2"/>
        <v>1210.6538913</v>
      </c>
      <c r="C68" s="3">
        <v>968.52311304</v>
      </c>
    </row>
    <row r="69" ht="15" spans="1:3">
      <c r="A69" s="3">
        <v>68</v>
      </c>
      <c r="B69" s="3">
        <f t="shared" si="2"/>
        <v>1206.320001</v>
      </c>
      <c r="C69" s="3">
        <v>965.0560008</v>
      </c>
    </row>
    <row r="70" ht="15" spans="1:3">
      <c r="A70" s="3">
        <v>69</v>
      </c>
      <c r="B70" s="3">
        <f t="shared" si="2"/>
        <v>1193.3694846</v>
      </c>
      <c r="C70" s="3">
        <v>954.69558768</v>
      </c>
    </row>
    <row r="71" ht="15" spans="1:3">
      <c r="A71" s="3">
        <v>70</v>
      </c>
      <c r="B71" s="3">
        <f t="shared" si="2"/>
        <v>1203.528201</v>
      </c>
      <c r="C71" s="3">
        <v>962.8225608</v>
      </c>
    </row>
    <row r="72" ht="15" spans="1:3">
      <c r="A72" s="3">
        <v>71</v>
      </c>
      <c r="B72" s="3">
        <f t="shared" si="2"/>
        <v>1226.2445814</v>
      </c>
      <c r="C72" s="3">
        <v>980.99566512</v>
      </c>
    </row>
    <row r="73" ht="15" spans="1:3">
      <c r="A73" s="3">
        <v>72</v>
      </c>
      <c r="B73" s="3">
        <f t="shared" si="2"/>
        <v>1262.9829822</v>
      </c>
      <c r="C73" s="3">
        <v>1010.38638576</v>
      </c>
    </row>
    <row r="74" ht="15" spans="1:3">
      <c r="A74" s="3">
        <v>73</v>
      </c>
      <c r="B74" s="3">
        <f t="shared" si="2"/>
        <v>1320.3614691</v>
      </c>
      <c r="C74" s="3">
        <v>1056.28917528</v>
      </c>
    </row>
    <row r="75" ht="15" spans="1:3">
      <c r="A75" s="3">
        <v>74</v>
      </c>
      <c r="B75" s="3">
        <f t="shared" si="2"/>
        <v>1347.8506044</v>
      </c>
      <c r="C75" s="3">
        <v>1078.28048352</v>
      </c>
    </row>
    <row r="76" ht="15" spans="1:3">
      <c r="A76" s="3">
        <v>75</v>
      </c>
      <c r="B76" s="3">
        <f t="shared" si="2"/>
        <v>1364.7044703</v>
      </c>
      <c r="C76" s="3">
        <v>1091.76357624</v>
      </c>
    </row>
    <row r="77" ht="15" spans="1:3">
      <c r="A77" s="3">
        <v>76</v>
      </c>
      <c r="B77" s="3">
        <f t="shared" si="2"/>
        <v>1365.9257898</v>
      </c>
      <c r="C77" s="3">
        <v>1092.74063184</v>
      </c>
    </row>
    <row r="78" ht="15" spans="1:3">
      <c r="A78" s="3">
        <v>77</v>
      </c>
      <c r="B78" s="3">
        <f t="shared" si="2"/>
        <v>1351.0356909</v>
      </c>
      <c r="C78" s="3">
        <v>1080.82855272</v>
      </c>
    </row>
    <row r="79" ht="15" spans="1:3">
      <c r="A79" s="3">
        <v>78</v>
      </c>
      <c r="B79" s="3">
        <f t="shared" si="2"/>
        <v>1351.5934785</v>
      </c>
      <c r="C79" s="3">
        <v>1081.2747828</v>
      </c>
    </row>
    <row r="80" ht="15" spans="1:3">
      <c r="A80" s="3">
        <v>79</v>
      </c>
      <c r="B80" s="3">
        <f t="shared" si="2"/>
        <v>1340.9062788</v>
      </c>
      <c r="C80" s="3">
        <v>1072.72502304</v>
      </c>
    </row>
    <row r="81" ht="15" spans="1:3">
      <c r="A81" s="3">
        <v>80</v>
      </c>
      <c r="B81" s="3">
        <f t="shared" si="2"/>
        <v>1318.1185827</v>
      </c>
      <c r="C81" s="3">
        <v>1054.49486616</v>
      </c>
    </row>
    <row r="82" ht="15" spans="1:3">
      <c r="A82" s="3">
        <v>81</v>
      </c>
      <c r="B82" s="3">
        <f t="shared" si="2"/>
        <v>1275.9972243</v>
      </c>
      <c r="C82" s="3">
        <v>1020.79777944</v>
      </c>
    </row>
    <row r="83" ht="15" spans="1:3">
      <c r="A83" s="3">
        <v>82</v>
      </c>
      <c r="B83" s="3">
        <f t="shared" si="2"/>
        <v>1243.4122311</v>
      </c>
      <c r="C83" s="3">
        <v>994.72978488</v>
      </c>
    </row>
    <row r="84" ht="15" spans="1:3">
      <c r="A84" s="3">
        <v>83</v>
      </c>
      <c r="B84" s="3">
        <f t="shared" si="2"/>
        <v>1211.6947569</v>
      </c>
      <c r="C84" s="3">
        <v>969.35580552</v>
      </c>
    </row>
    <row r="85" ht="15" spans="1:3">
      <c r="A85" s="3">
        <v>84</v>
      </c>
      <c r="B85" s="3">
        <f t="shared" si="2"/>
        <v>1183.3369362</v>
      </c>
      <c r="C85" s="3">
        <v>946.66954896</v>
      </c>
    </row>
    <row r="86" ht="15" spans="1:3">
      <c r="A86" s="3">
        <v>85</v>
      </c>
      <c r="B86" s="3">
        <f t="shared" si="2"/>
        <v>1152.338364</v>
      </c>
      <c r="C86" s="3">
        <v>921.8706912</v>
      </c>
    </row>
    <row r="87" ht="15" spans="1:3">
      <c r="A87" s="3">
        <v>86</v>
      </c>
      <c r="B87" s="3">
        <f t="shared" si="2"/>
        <v>1125.6380637</v>
      </c>
      <c r="C87" s="3">
        <v>900.51045096</v>
      </c>
    </row>
    <row r="88" ht="15" spans="1:3">
      <c r="A88" s="3">
        <v>87</v>
      </c>
      <c r="B88" s="3">
        <f t="shared" si="2"/>
        <v>1095.7438128</v>
      </c>
      <c r="C88" s="3">
        <v>876.59505024</v>
      </c>
    </row>
    <row r="89" ht="15" spans="1:3">
      <c r="A89" s="3">
        <v>88</v>
      </c>
      <c r="B89" s="3">
        <f t="shared" si="2"/>
        <v>1065.0773841</v>
      </c>
      <c r="C89" s="3">
        <v>852.06190728</v>
      </c>
    </row>
    <row r="90" ht="15" spans="1:3">
      <c r="A90" s="3">
        <v>89</v>
      </c>
      <c r="B90" s="3">
        <f t="shared" si="2"/>
        <v>1022.8341258</v>
      </c>
      <c r="C90" s="3">
        <v>818.26730064</v>
      </c>
    </row>
    <row r="91" ht="15" spans="1:3">
      <c r="A91" s="3">
        <v>90</v>
      </c>
      <c r="B91" s="3">
        <f t="shared" si="2"/>
        <v>997.5800802</v>
      </c>
      <c r="C91" s="3">
        <v>798.06406416</v>
      </c>
    </row>
    <row r="92" ht="15" spans="1:3">
      <c r="A92" s="3">
        <v>91</v>
      </c>
      <c r="B92" s="3">
        <f t="shared" si="2"/>
        <v>975.1737141</v>
      </c>
      <c r="C92" s="3">
        <v>780.13897128</v>
      </c>
    </row>
    <row r="93" ht="15" spans="1:3">
      <c r="A93" s="3">
        <v>92</v>
      </c>
      <c r="B93" s="3">
        <f t="shared" si="2"/>
        <v>958.8247821</v>
      </c>
      <c r="C93" s="3">
        <v>767.05982568</v>
      </c>
    </row>
    <row r="94" ht="15" spans="1:3">
      <c r="A94" s="3">
        <v>93</v>
      </c>
      <c r="B94" s="3">
        <f t="shared" si="2"/>
        <v>945.2086404</v>
      </c>
      <c r="C94" s="3">
        <v>756.16691232</v>
      </c>
    </row>
    <row r="95" ht="15" spans="1:3">
      <c r="A95" s="3">
        <v>94</v>
      </c>
      <c r="B95" s="3">
        <f t="shared" si="2"/>
        <v>936.8303148</v>
      </c>
      <c r="C95" s="3">
        <v>749.46425184</v>
      </c>
    </row>
    <row r="96" ht="15" spans="1:3">
      <c r="A96" s="3">
        <v>95</v>
      </c>
      <c r="B96" s="3">
        <f t="shared" si="2"/>
        <v>929.0427438</v>
      </c>
      <c r="C96" s="3">
        <v>743.23419504</v>
      </c>
    </row>
    <row r="97" ht="15" spans="1:3">
      <c r="A97" s="3">
        <v>96</v>
      </c>
      <c r="B97" s="3">
        <f t="shared" si="2"/>
        <v>922.3947348</v>
      </c>
      <c r="C97" s="3">
        <v>737.91578784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="85" zoomScaleNormal="85" workbookViewId="0">
      <selection activeCell="G42" sqref="G42"/>
    </sheetView>
  </sheetViews>
  <sheetFormatPr defaultColWidth="9" defaultRowHeight="13.5" outlineLevelCol="3"/>
  <cols>
    <col min="3" max="3" width="11.125"/>
  </cols>
  <sheetData>
    <row r="1" ht="15" spans="1:4">
      <c r="A1" s="3" t="s">
        <v>21</v>
      </c>
      <c r="B1" s="3">
        <v>18</v>
      </c>
      <c r="C1" s="3">
        <v>25</v>
      </c>
      <c r="D1" s="3">
        <v>33</v>
      </c>
    </row>
    <row r="2" ht="15" spans="1:4">
      <c r="A2" s="3" t="s">
        <v>22</v>
      </c>
      <c r="B2" s="3">
        <v>0</v>
      </c>
      <c r="C2" s="3">
        <v>0</v>
      </c>
      <c r="D2" s="3">
        <v>0</v>
      </c>
    </row>
    <row r="3" ht="15" spans="1:4">
      <c r="A3" s="3" t="s">
        <v>23</v>
      </c>
      <c r="B3" s="3">
        <v>0</v>
      </c>
      <c r="C3" s="3">
        <v>0</v>
      </c>
      <c r="D3" s="3">
        <v>0</v>
      </c>
    </row>
    <row r="4" ht="15" spans="1:4">
      <c r="A4" s="3" t="s">
        <v>24</v>
      </c>
      <c r="B4" s="3">
        <v>0</v>
      </c>
      <c r="C4" s="3">
        <v>0</v>
      </c>
      <c r="D4" s="3">
        <v>0</v>
      </c>
    </row>
    <row r="5" ht="15" spans="1:4">
      <c r="A5" s="3" t="s">
        <v>25</v>
      </c>
      <c r="B5" s="3">
        <v>0</v>
      </c>
      <c r="C5" s="3">
        <v>0</v>
      </c>
      <c r="D5" s="3">
        <v>0</v>
      </c>
    </row>
    <row r="6" ht="15" spans="1:4">
      <c r="A6" s="3" t="s">
        <v>26</v>
      </c>
      <c r="B6" s="3">
        <v>0</v>
      </c>
      <c r="C6" s="3">
        <v>0</v>
      </c>
      <c r="D6" s="3">
        <v>0</v>
      </c>
    </row>
    <row r="7" ht="15" spans="1:4">
      <c r="A7" s="3" t="s">
        <v>27</v>
      </c>
      <c r="B7" s="3">
        <v>0</v>
      </c>
      <c r="C7" s="3">
        <v>0</v>
      </c>
      <c r="D7" s="3">
        <v>0</v>
      </c>
    </row>
    <row r="8" ht="15" spans="1:4">
      <c r="A8" s="3" t="s">
        <v>28</v>
      </c>
      <c r="B8" s="3">
        <v>0</v>
      </c>
      <c r="C8" s="3">
        <v>0</v>
      </c>
      <c r="D8" s="3">
        <v>0</v>
      </c>
    </row>
    <row r="9" ht="15" spans="1:4">
      <c r="A9" s="3" t="s">
        <v>29</v>
      </c>
      <c r="B9" s="3">
        <v>0</v>
      </c>
      <c r="C9" s="3">
        <v>0</v>
      </c>
      <c r="D9" s="3">
        <v>0</v>
      </c>
    </row>
    <row r="10" ht="15" spans="1:4">
      <c r="A10" s="3" t="s">
        <v>30</v>
      </c>
      <c r="B10" s="3">
        <v>0</v>
      </c>
      <c r="C10" s="3">
        <v>0</v>
      </c>
      <c r="D10" s="3">
        <v>0</v>
      </c>
    </row>
    <row r="11" ht="15" spans="1:4">
      <c r="A11" s="3" t="s">
        <v>31</v>
      </c>
      <c r="B11" s="3">
        <v>0</v>
      </c>
      <c r="C11" s="3">
        <v>0</v>
      </c>
      <c r="D11" s="3">
        <v>0</v>
      </c>
    </row>
    <row r="12" ht="15" spans="1:4">
      <c r="A12" s="3" t="s">
        <v>32</v>
      </c>
      <c r="B12" s="3">
        <v>0</v>
      </c>
      <c r="C12" s="3">
        <v>0</v>
      </c>
      <c r="D12" s="3">
        <v>0</v>
      </c>
    </row>
    <row r="13" ht="15" spans="1:4">
      <c r="A13" s="3" t="s">
        <v>33</v>
      </c>
      <c r="B13" s="3">
        <v>0</v>
      </c>
      <c r="C13" s="3">
        <v>0</v>
      </c>
      <c r="D13" s="3">
        <v>0</v>
      </c>
    </row>
    <row r="14" ht="15" spans="1:4">
      <c r="A14" s="3" t="s">
        <v>34</v>
      </c>
      <c r="B14" s="3">
        <v>0</v>
      </c>
      <c r="C14" s="3">
        <v>0</v>
      </c>
      <c r="D14" s="3">
        <v>0</v>
      </c>
    </row>
    <row r="15" ht="15" spans="1:4">
      <c r="A15" s="3" t="s">
        <v>35</v>
      </c>
      <c r="B15" s="3">
        <v>0</v>
      </c>
      <c r="C15" s="3">
        <v>0</v>
      </c>
      <c r="D15" s="3">
        <v>0</v>
      </c>
    </row>
    <row r="16" ht="15" spans="1:4">
      <c r="A16" s="3" t="s">
        <v>36</v>
      </c>
      <c r="B16" s="3">
        <v>0</v>
      </c>
      <c r="C16" s="3">
        <v>0</v>
      </c>
      <c r="D16" s="3">
        <v>0</v>
      </c>
    </row>
    <row r="17" ht="15" spans="1:4">
      <c r="A17" s="3" t="s">
        <v>37</v>
      </c>
      <c r="B17" s="3">
        <v>0</v>
      </c>
      <c r="C17" s="3">
        <v>0</v>
      </c>
      <c r="D17" s="3">
        <v>0</v>
      </c>
    </row>
    <row r="18" ht="15" spans="1:4">
      <c r="A18" s="3" t="s">
        <v>38</v>
      </c>
      <c r="B18" s="3">
        <v>0</v>
      </c>
      <c r="C18" s="3">
        <v>0</v>
      </c>
      <c r="D18" s="3">
        <v>0</v>
      </c>
    </row>
    <row r="19" ht="15" spans="1:4">
      <c r="A19" s="3" t="s">
        <v>39</v>
      </c>
      <c r="B19" s="3">
        <v>0</v>
      </c>
      <c r="C19" s="3">
        <v>0</v>
      </c>
      <c r="D19" s="3">
        <v>0</v>
      </c>
    </row>
    <row r="20" ht="15" spans="1:4">
      <c r="A20" s="3" t="s">
        <v>40</v>
      </c>
      <c r="B20" s="3">
        <v>0</v>
      </c>
      <c r="C20" s="3">
        <v>0</v>
      </c>
      <c r="D20" s="3">
        <v>0</v>
      </c>
    </row>
    <row r="21" ht="15" spans="1:4">
      <c r="A21" s="3" t="s">
        <v>41</v>
      </c>
      <c r="B21" s="3">
        <v>0</v>
      </c>
      <c r="C21" s="3">
        <v>0</v>
      </c>
      <c r="D21" s="3">
        <v>0</v>
      </c>
    </row>
    <row r="22" ht="15" spans="1:4">
      <c r="A22" s="3" t="s">
        <v>42</v>
      </c>
      <c r="B22" s="3">
        <v>0</v>
      </c>
      <c r="C22" s="3">
        <v>0</v>
      </c>
      <c r="D22" s="3">
        <v>0</v>
      </c>
    </row>
    <row r="23" ht="15" spans="1:4">
      <c r="A23" s="3" t="s">
        <v>43</v>
      </c>
      <c r="B23" s="3">
        <v>0</v>
      </c>
      <c r="C23" s="3">
        <v>0</v>
      </c>
      <c r="D23" s="3">
        <v>0</v>
      </c>
    </row>
    <row r="24" ht="15" spans="1:4">
      <c r="A24" s="3" t="s">
        <v>44</v>
      </c>
      <c r="B24" s="3">
        <v>0</v>
      </c>
      <c r="C24" s="3">
        <v>0</v>
      </c>
      <c r="D24" s="3">
        <v>0</v>
      </c>
    </row>
    <row r="25" ht="15" spans="1:4">
      <c r="A25" s="3" t="s">
        <v>45</v>
      </c>
      <c r="B25" s="3">
        <v>0</v>
      </c>
      <c r="C25" s="3">
        <v>0</v>
      </c>
      <c r="D25" s="3">
        <v>0</v>
      </c>
    </row>
    <row r="26" ht="15" spans="1:4">
      <c r="A26" s="3" t="s">
        <v>46</v>
      </c>
      <c r="B26" s="3">
        <v>0</v>
      </c>
      <c r="C26" s="3">
        <v>0</v>
      </c>
      <c r="D26" s="3">
        <v>0</v>
      </c>
    </row>
    <row r="27" ht="15" spans="1:4">
      <c r="A27" s="3" t="s">
        <v>47</v>
      </c>
      <c r="B27" s="3">
        <v>0</v>
      </c>
      <c r="C27" s="3">
        <v>0</v>
      </c>
      <c r="D27" s="3">
        <v>0</v>
      </c>
    </row>
    <row r="28" ht="15" spans="1:4">
      <c r="A28" s="3" t="s">
        <v>48</v>
      </c>
      <c r="B28" s="3">
        <v>0</v>
      </c>
      <c r="C28" s="3">
        <v>0</v>
      </c>
      <c r="D28" s="3">
        <v>0</v>
      </c>
    </row>
    <row r="29" ht="15" spans="1:4">
      <c r="A29" s="3" t="s">
        <v>49</v>
      </c>
      <c r="B29" s="3">
        <v>0.143171573251397</v>
      </c>
      <c r="C29" s="3">
        <v>0.0615028761733481</v>
      </c>
      <c r="D29" s="3">
        <v>0</v>
      </c>
    </row>
    <row r="30" ht="15" spans="1:4">
      <c r="A30" s="3" t="s">
        <v>50</v>
      </c>
      <c r="B30" s="3">
        <v>4.74613883981851</v>
      </c>
      <c r="C30" s="3">
        <v>6.82681523946797</v>
      </c>
      <c r="D30" s="3">
        <v>3.62314933347725</v>
      </c>
    </row>
    <row r="31" ht="15" spans="1:4">
      <c r="A31" s="3" t="s">
        <v>51</v>
      </c>
      <c r="B31" s="3">
        <v>10.5875404888259</v>
      </c>
      <c r="C31" s="3">
        <v>18.4508519985621</v>
      </c>
      <c r="D31" s="3">
        <v>12.4021803659129</v>
      </c>
    </row>
    <row r="32" ht="15" spans="1:4">
      <c r="A32" s="3" t="s">
        <v>52</v>
      </c>
      <c r="B32" s="3">
        <v>30.9930740320717</v>
      </c>
      <c r="C32" s="3">
        <v>44.0903006121505</v>
      </c>
      <c r="D32" s="3">
        <v>37.6095129796535</v>
      </c>
    </row>
    <row r="33" ht="15" spans="1:4">
      <c r="A33" s="3" t="s">
        <v>53</v>
      </c>
      <c r="B33" s="3">
        <v>61.9288794563185</v>
      </c>
      <c r="C33" s="3">
        <v>77.0775298066419</v>
      </c>
      <c r="D33" s="3">
        <v>69.3903251119866</v>
      </c>
    </row>
    <row r="34" ht="15" spans="1:4">
      <c r="A34" s="3" t="s">
        <v>54</v>
      </c>
      <c r="B34" s="3">
        <v>86.0711921029992</v>
      </c>
      <c r="C34" s="3">
        <v>106.504829801112</v>
      </c>
      <c r="D34" s="3">
        <v>98.1308578984295</v>
      </c>
    </row>
    <row r="35" ht="15" spans="1:4">
      <c r="A35" s="3" t="s">
        <v>55</v>
      </c>
      <c r="B35" s="3">
        <v>102.0706194137</v>
      </c>
      <c r="C35" s="3">
        <v>124.423863124421</v>
      </c>
      <c r="D35" s="3">
        <v>115.242772626693</v>
      </c>
    </row>
    <row r="36" ht="15" spans="1:4">
      <c r="A36" s="3" t="s">
        <v>56</v>
      </c>
      <c r="B36" s="3">
        <v>114.988277839721</v>
      </c>
      <c r="C36" s="3">
        <v>138.989182760933</v>
      </c>
      <c r="D36" s="3">
        <v>126.018673430838</v>
      </c>
    </row>
    <row r="37" ht="15" spans="1:4">
      <c r="A37" s="3" t="s">
        <v>57</v>
      </c>
      <c r="B37" s="3">
        <v>127.60527588675</v>
      </c>
      <c r="C37" s="3">
        <v>151.470641465843</v>
      </c>
      <c r="D37" s="3">
        <v>135.391368449458</v>
      </c>
    </row>
    <row r="38" ht="15" spans="1:4">
      <c r="A38" s="3" t="s">
        <v>58</v>
      </c>
      <c r="B38" s="3">
        <v>135.196950456324</v>
      </c>
      <c r="C38" s="3">
        <v>161.430483767127</v>
      </c>
      <c r="D38" s="3">
        <v>145.131055858384</v>
      </c>
    </row>
    <row r="39" ht="15" spans="1:4">
      <c r="A39" s="3" t="s">
        <v>59</v>
      </c>
      <c r="B39" s="3">
        <v>147.992912943073</v>
      </c>
      <c r="C39" s="3">
        <v>169.859990588231</v>
      </c>
      <c r="D39" s="3">
        <v>156.953964056344</v>
      </c>
    </row>
    <row r="40" ht="15" spans="1:4">
      <c r="A40" s="3" t="s">
        <v>60</v>
      </c>
      <c r="B40" s="3">
        <v>162.263543074563</v>
      </c>
      <c r="C40" s="3">
        <v>176.94728844415</v>
      </c>
      <c r="D40" s="3">
        <v>170.49669890442</v>
      </c>
    </row>
    <row r="41" ht="15" spans="1:4">
      <c r="A41" s="3" t="s">
        <v>61</v>
      </c>
      <c r="B41" s="3">
        <v>175.302897439858</v>
      </c>
      <c r="C41" s="3">
        <v>183.437646970703</v>
      </c>
      <c r="D41" s="3">
        <v>177.811358734956</v>
      </c>
    </row>
    <row r="42" ht="15" spans="1:4">
      <c r="A42" s="3" t="s">
        <v>62</v>
      </c>
      <c r="B42" s="3">
        <v>179.576569969831</v>
      </c>
      <c r="C42" s="3">
        <v>187.547483844207</v>
      </c>
      <c r="D42" s="3">
        <v>181.355352906255</v>
      </c>
    </row>
    <row r="43" ht="15" spans="1:4">
      <c r="A43" s="3" t="s">
        <v>63</v>
      </c>
      <c r="B43" s="3">
        <v>185.39291651567</v>
      </c>
      <c r="C43" s="3">
        <v>191.158062369516</v>
      </c>
      <c r="D43" s="3">
        <v>188.896684440607</v>
      </c>
    </row>
    <row r="44" ht="15" spans="1:4">
      <c r="A44" s="3" t="s">
        <v>64</v>
      </c>
      <c r="B44" s="3">
        <v>190.017359523593</v>
      </c>
      <c r="C44" s="3">
        <v>194.207879670455</v>
      </c>
      <c r="D44" s="3">
        <v>193.613614658104</v>
      </c>
    </row>
    <row r="45" ht="15" spans="1:4">
      <c r="A45" s="3" t="s">
        <v>65</v>
      </c>
      <c r="B45" s="3">
        <v>194.631064660839</v>
      </c>
      <c r="C45" s="3">
        <v>196.063818312663</v>
      </c>
      <c r="D45" s="3">
        <v>194.977242916509</v>
      </c>
    </row>
    <row r="46" ht="15" spans="1:4">
      <c r="A46" s="3" t="s">
        <v>66</v>
      </c>
      <c r="B46" s="3">
        <v>198.636290423853</v>
      </c>
      <c r="C46" s="3">
        <v>198.657791034814</v>
      </c>
      <c r="D46" s="3">
        <v>197.082051594797</v>
      </c>
    </row>
    <row r="47" ht="15" spans="1:4">
      <c r="A47" s="3" t="s">
        <v>67</v>
      </c>
      <c r="B47" s="3">
        <v>199.749449612587</v>
      </c>
      <c r="C47" s="3">
        <v>200</v>
      </c>
      <c r="D47" s="3">
        <v>199.197654163743</v>
      </c>
    </row>
    <row r="48" ht="15" spans="1:4">
      <c r="A48" s="3" t="s">
        <v>68</v>
      </c>
      <c r="B48" s="3">
        <v>200</v>
      </c>
      <c r="C48" s="3">
        <v>199.772077710606</v>
      </c>
      <c r="D48" s="3">
        <v>200</v>
      </c>
    </row>
    <row r="49" ht="15" spans="1:4">
      <c r="A49" s="3" t="s">
        <v>69</v>
      </c>
      <c r="B49" s="3">
        <v>199.498899332552</v>
      </c>
      <c r="C49" s="3">
        <v>199.772077710606</v>
      </c>
      <c r="D49" s="3">
        <v>198.13985287927</v>
      </c>
    </row>
    <row r="50" ht="15" spans="1:4">
      <c r="A50" s="3" t="s">
        <v>70</v>
      </c>
      <c r="B50" s="3">
        <v>198.421533010287</v>
      </c>
      <c r="C50" s="3">
        <v>199.62374740415</v>
      </c>
      <c r="D50" s="3">
        <v>195.970280857035</v>
      </c>
    </row>
    <row r="51" ht="15" spans="1:4">
      <c r="A51" s="3" t="s">
        <v>71</v>
      </c>
      <c r="B51" s="3">
        <v>197.222470748748</v>
      </c>
      <c r="C51" s="3">
        <v>199.131724611832</v>
      </c>
      <c r="D51" s="3">
        <v>193.703563818879</v>
      </c>
    </row>
    <row r="52" ht="15" spans="1:4">
      <c r="A52" s="3" t="s">
        <v>72</v>
      </c>
      <c r="B52" s="3">
        <v>195.35408125072</v>
      </c>
      <c r="C52" s="3">
        <v>196.99359646847</v>
      </c>
      <c r="D52" s="3">
        <v>187.802903556587</v>
      </c>
    </row>
    <row r="53" ht="15" spans="1:4">
      <c r="A53" s="3" t="s">
        <v>73</v>
      </c>
      <c r="B53" s="3">
        <v>193.399788787265</v>
      </c>
      <c r="C53" s="3">
        <v>195.68394783034</v>
      </c>
      <c r="D53" s="3">
        <v>186.727112418371</v>
      </c>
    </row>
    <row r="54" ht="15" spans="1:4">
      <c r="A54" s="3" t="s">
        <v>74</v>
      </c>
      <c r="B54" s="3">
        <v>191.438337707565</v>
      </c>
      <c r="C54" s="3">
        <v>193.954632609883</v>
      </c>
      <c r="D54" s="3">
        <v>186.00032381672</v>
      </c>
    </row>
    <row r="55" ht="15" spans="1:4">
      <c r="A55" s="3" t="s">
        <v>75</v>
      </c>
      <c r="B55" s="3">
        <v>188.249190116103</v>
      </c>
      <c r="C55" s="3">
        <v>191.223183023629</v>
      </c>
      <c r="D55" s="3">
        <v>185.359886340331</v>
      </c>
    </row>
    <row r="56" ht="15" spans="1:4">
      <c r="A56" s="3" t="s">
        <v>76</v>
      </c>
      <c r="B56" s="3">
        <v>183.47083766425</v>
      </c>
      <c r="C56" s="3">
        <v>187.428095978334</v>
      </c>
      <c r="D56" s="3">
        <v>184.557540396136</v>
      </c>
    </row>
    <row r="57" ht="15" spans="1:4">
      <c r="A57" s="3" t="s">
        <v>77</v>
      </c>
      <c r="B57" s="3">
        <v>177.894303527767</v>
      </c>
      <c r="C57" s="3">
        <v>181.675771531724</v>
      </c>
      <c r="D57" s="3">
        <v>179.113821576987</v>
      </c>
    </row>
    <row r="58" ht="15" spans="1:4">
      <c r="A58" s="3" t="s">
        <v>78</v>
      </c>
      <c r="B58" s="3">
        <v>173.416611454907</v>
      </c>
      <c r="C58" s="3">
        <v>176.183929701564</v>
      </c>
      <c r="D58" s="3">
        <v>173.792433482649</v>
      </c>
    </row>
    <row r="59" ht="15" spans="1:4">
      <c r="A59" s="3" t="s">
        <v>79</v>
      </c>
      <c r="B59" s="3">
        <v>167.249494431117</v>
      </c>
      <c r="C59" s="3">
        <v>171.252849095773</v>
      </c>
      <c r="D59" s="3">
        <v>166.204328350154</v>
      </c>
    </row>
    <row r="60" ht="15" spans="1:4">
      <c r="A60" s="3" t="s">
        <v>80</v>
      </c>
      <c r="B60" s="3">
        <v>160.806772024123</v>
      </c>
      <c r="C60" s="3">
        <v>164.66842736599</v>
      </c>
      <c r="D60" s="3">
        <v>157.317358411139</v>
      </c>
    </row>
    <row r="61" ht="15" spans="1:4">
      <c r="A61" s="3" t="s">
        <v>81</v>
      </c>
      <c r="B61" s="3">
        <v>151.894339361116</v>
      </c>
      <c r="C61" s="3">
        <v>156.101443572248</v>
      </c>
      <c r="D61" s="3">
        <v>145.721121809056</v>
      </c>
    </row>
    <row r="62" ht="15" spans="1:4">
      <c r="A62" s="3" t="s">
        <v>82</v>
      </c>
      <c r="B62" s="3">
        <v>140.39050050282</v>
      </c>
      <c r="C62" s="3">
        <v>143.008574209147</v>
      </c>
      <c r="D62" s="3">
        <v>134.736539154838</v>
      </c>
    </row>
    <row r="63" ht="15" spans="1:4">
      <c r="A63" s="3" t="s">
        <v>83</v>
      </c>
      <c r="B63" s="3">
        <v>124.716788674282</v>
      </c>
      <c r="C63" s="3">
        <v>127.603921733585</v>
      </c>
      <c r="D63" s="3">
        <v>121.251371687625</v>
      </c>
    </row>
    <row r="64" ht="15" spans="1:4">
      <c r="A64" s="3" t="s">
        <v>84</v>
      </c>
      <c r="B64" s="3">
        <v>105.388621453301</v>
      </c>
      <c r="C64" s="3">
        <v>109.482290783525</v>
      </c>
      <c r="D64" s="3">
        <v>105.82330400993</v>
      </c>
    </row>
    <row r="65" ht="15" spans="1:4">
      <c r="A65" s="3" t="s">
        <v>85</v>
      </c>
      <c r="B65" s="3">
        <v>83.261449239712</v>
      </c>
      <c r="C65" s="3">
        <v>87.2182627414381</v>
      </c>
      <c r="D65" s="3">
        <v>86.0524942522532</v>
      </c>
    </row>
    <row r="66" ht="15" spans="1:4">
      <c r="A66" s="3" t="s">
        <v>86</v>
      </c>
      <c r="B66" s="3">
        <v>56.0373678157315</v>
      </c>
      <c r="C66" s="3">
        <v>60.6598893058608</v>
      </c>
      <c r="D66" s="3">
        <v>57.7185312752982</v>
      </c>
    </row>
    <row r="67" ht="15" spans="1:4">
      <c r="A67" s="3" t="s">
        <v>87</v>
      </c>
      <c r="B67" s="3">
        <v>23.2832828850362</v>
      </c>
      <c r="C67" s="3">
        <v>25.3319344497905</v>
      </c>
      <c r="D67" s="3">
        <v>25.3980247180096</v>
      </c>
    </row>
    <row r="68" ht="15" spans="1:4">
      <c r="A68" s="3" t="s">
        <v>88</v>
      </c>
      <c r="B68" s="3">
        <v>2.98870730300683</v>
      </c>
      <c r="C68" s="3">
        <v>4.22922473937796</v>
      </c>
      <c r="D68" s="3">
        <v>4.93640595822764</v>
      </c>
    </row>
    <row r="69" ht="15" spans="1:4">
      <c r="A69" s="3" t="s">
        <v>89</v>
      </c>
      <c r="B69" s="3">
        <v>0</v>
      </c>
      <c r="C69" s="3">
        <v>0</v>
      </c>
      <c r="D69" s="3">
        <v>0</v>
      </c>
    </row>
    <row r="70" ht="15" spans="1:4">
      <c r="A70" s="3" t="s">
        <v>90</v>
      </c>
      <c r="B70" s="3">
        <v>0</v>
      </c>
      <c r="C70" s="3">
        <v>0</v>
      </c>
      <c r="D70" s="3">
        <v>0</v>
      </c>
    </row>
    <row r="71" ht="15" spans="1:4">
      <c r="A71" s="3" t="s">
        <v>91</v>
      </c>
      <c r="B71" s="3">
        <v>0</v>
      </c>
      <c r="C71" s="3">
        <v>0</v>
      </c>
      <c r="D71" s="3">
        <v>0</v>
      </c>
    </row>
    <row r="72" ht="15" spans="1:4">
      <c r="A72" s="3" t="s">
        <v>92</v>
      </c>
      <c r="B72" s="3">
        <v>0</v>
      </c>
      <c r="C72" s="3">
        <v>0</v>
      </c>
      <c r="D72" s="3">
        <v>0</v>
      </c>
    </row>
    <row r="73" ht="15" spans="1:4">
      <c r="A73" s="3" t="s">
        <v>93</v>
      </c>
      <c r="B73" s="3">
        <v>0</v>
      </c>
      <c r="C73" s="3">
        <v>0</v>
      </c>
      <c r="D73" s="3">
        <v>0</v>
      </c>
    </row>
    <row r="74" ht="15" spans="1:4">
      <c r="A74" s="3" t="s">
        <v>94</v>
      </c>
      <c r="B74" s="3">
        <v>0</v>
      </c>
      <c r="C74" s="3">
        <v>0</v>
      </c>
      <c r="D74" s="3">
        <v>0</v>
      </c>
    </row>
    <row r="75" ht="15" spans="1:4">
      <c r="A75" s="3" t="s">
        <v>95</v>
      </c>
      <c r="B75" s="3">
        <v>0</v>
      </c>
      <c r="C75" s="3">
        <v>0</v>
      </c>
      <c r="D75" s="3">
        <v>0</v>
      </c>
    </row>
    <row r="76" ht="15" spans="1:4">
      <c r="A76" s="3" t="s">
        <v>96</v>
      </c>
      <c r="B76" s="3">
        <v>0</v>
      </c>
      <c r="C76" s="3">
        <v>0</v>
      </c>
      <c r="D76" s="3">
        <v>0</v>
      </c>
    </row>
    <row r="77" ht="15" spans="1:4">
      <c r="A77" s="3" t="s">
        <v>97</v>
      </c>
      <c r="B77" s="3">
        <v>0</v>
      </c>
      <c r="C77" s="3">
        <v>0</v>
      </c>
      <c r="D77" s="3">
        <v>0</v>
      </c>
    </row>
    <row r="78" ht="15" spans="1:4">
      <c r="A78" s="3" t="s">
        <v>98</v>
      </c>
      <c r="B78" s="3">
        <v>0</v>
      </c>
      <c r="C78" s="3">
        <v>0</v>
      </c>
      <c r="D78" s="3">
        <v>0</v>
      </c>
    </row>
    <row r="79" ht="15" spans="1:4">
      <c r="A79" s="3" t="s">
        <v>99</v>
      </c>
      <c r="B79" s="3">
        <v>0</v>
      </c>
      <c r="C79" s="3">
        <v>0</v>
      </c>
      <c r="D79" s="3">
        <v>0</v>
      </c>
    </row>
    <row r="80" ht="15" spans="1:4">
      <c r="A80" s="3" t="s">
        <v>100</v>
      </c>
      <c r="B80" s="3">
        <v>0</v>
      </c>
      <c r="C80" s="3">
        <v>0</v>
      </c>
      <c r="D80" s="3">
        <v>0</v>
      </c>
    </row>
    <row r="81" ht="15" spans="1:4">
      <c r="A81" s="3" t="s">
        <v>101</v>
      </c>
      <c r="B81" s="3">
        <v>0</v>
      </c>
      <c r="C81" s="3">
        <v>0</v>
      </c>
      <c r="D81" s="3">
        <v>0</v>
      </c>
    </row>
    <row r="82" ht="15" spans="1:4">
      <c r="A82" s="3" t="s">
        <v>102</v>
      </c>
      <c r="B82" s="3">
        <v>0</v>
      </c>
      <c r="C82" s="3">
        <v>0</v>
      </c>
      <c r="D82" s="3">
        <v>0</v>
      </c>
    </row>
    <row r="83" ht="15" spans="1:4">
      <c r="A83" s="3" t="s">
        <v>103</v>
      </c>
      <c r="B83" s="3">
        <v>0</v>
      </c>
      <c r="C83" s="3">
        <v>0</v>
      </c>
      <c r="D83" s="3">
        <v>0</v>
      </c>
    </row>
    <row r="84" ht="15" spans="1:4">
      <c r="A84" s="3" t="s">
        <v>104</v>
      </c>
      <c r="B84" s="3">
        <v>0</v>
      </c>
      <c r="C84" s="3">
        <v>0</v>
      </c>
      <c r="D84" s="3">
        <v>0</v>
      </c>
    </row>
    <row r="85" ht="15" spans="1:4">
      <c r="A85" s="3" t="s">
        <v>105</v>
      </c>
      <c r="B85" s="3">
        <v>0</v>
      </c>
      <c r="C85" s="3">
        <v>0</v>
      </c>
      <c r="D85" s="3">
        <v>0</v>
      </c>
    </row>
    <row r="86" ht="15" spans="1:4">
      <c r="A86" s="3" t="s">
        <v>106</v>
      </c>
      <c r="B86" s="3">
        <v>0</v>
      </c>
      <c r="C86" s="3">
        <v>0</v>
      </c>
      <c r="D86" s="3">
        <v>0</v>
      </c>
    </row>
    <row r="87" ht="15" spans="1:4">
      <c r="A87" s="3" t="s">
        <v>107</v>
      </c>
      <c r="B87" s="3">
        <v>0</v>
      </c>
      <c r="C87" s="3">
        <v>0</v>
      </c>
      <c r="D87" s="3">
        <v>0</v>
      </c>
    </row>
    <row r="88" ht="15" spans="1:4">
      <c r="A88" s="3" t="s">
        <v>108</v>
      </c>
      <c r="B88" s="3">
        <v>0</v>
      </c>
      <c r="C88" s="3">
        <v>0</v>
      </c>
      <c r="D88" s="3">
        <v>0</v>
      </c>
    </row>
    <row r="89" ht="15" spans="1:4">
      <c r="A89" s="3" t="s">
        <v>109</v>
      </c>
      <c r="B89" s="3">
        <v>0</v>
      </c>
      <c r="C89" s="3">
        <v>0</v>
      </c>
      <c r="D89" s="3">
        <v>0</v>
      </c>
    </row>
    <row r="90" ht="15" spans="1:4">
      <c r="A90" s="3" t="s">
        <v>110</v>
      </c>
      <c r="B90" s="3">
        <v>0</v>
      </c>
      <c r="C90" s="3">
        <v>0</v>
      </c>
      <c r="D90" s="3">
        <v>0</v>
      </c>
    </row>
    <row r="91" ht="15" spans="1:4">
      <c r="A91" s="3" t="s">
        <v>111</v>
      </c>
      <c r="B91" s="3">
        <v>0</v>
      </c>
      <c r="C91" s="3">
        <v>0</v>
      </c>
      <c r="D91" s="3">
        <v>0</v>
      </c>
    </row>
    <row r="92" ht="15" spans="1:4">
      <c r="A92" s="3" t="s">
        <v>112</v>
      </c>
      <c r="B92" s="3">
        <v>0</v>
      </c>
      <c r="C92" s="3">
        <v>0</v>
      </c>
      <c r="D92" s="3">
        <v>0</v>
      </c>
    </row>
    <row r="93" ht="15" spans="1:4">
      <c r="A93" s="3" t="s">
        <v>113</v>
      </c>
      <c r="B93" s="3">
        <v>0</v>
      </c>
      <c r="C93" s="3">
        <v>0</v>
      </c>
      <c r="D93" s="3">
        <v>0</v>
      </c>
    </row>
    <row r="94" ht="15" spans="1:4">
      <c r="A94" s="3" t="s">
        <v>114</v>
      </c>
      <c r="B94" s="3">
        <v>0</v>
      </c>
      <c r="C94" s="3">
        <v>0</v>
      </c>
      <c r="D94" s="3">
        <v>0</v>
      </c>
    </row>
    <row r="95" ht="15" spans="1:4">
      <c r="A95" s="3" t="s">
        <v>115</v>
      </c>
      <c r="B95" s="3">
        <v>0</v>
      </c>
      <c r="C95" s="3">
        <v>0</v>
      </c>
      <c r="D95" s="3">
        <v>0</v>
      </c>
    </row>
    <row r="96" ht="15" spans="1:4">
      <c r="A96" s="3" t="s">
        <v>116</v>
      </c>
      <c r="B96" s="3">
        <v>0</v>
      </c>
      <c r="C96" s="3">
        <v>0</v>
      </c>
      <c r="D96" s="3">
        <v>0</v>
      </c>
    </row>
    <row r="97" ht="15" spans="1:4">
      <c r="A97" s="3" t="s">
        <v>117</v>
      </c>
      <c r="B97" s="3">
        <v>0</v>
      </c>
      <c r="C97" s="3">
        <v>0</v>
      </c>
      <c r="D97" s="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="130" zoomScaleNormal="130" workbookViewId="0">
      <selection activeCell="D7" sqref="D7"/>
    </sheetView>
  </sheetViews>
  <sheetFormatPr defaultColWidth="9" defaultRowHeight="13.5" outlineLevelRow="1" outlineLevelCol="1"/>
  <sheetData>
    <row r="1" spans="1:2">
      <c r="A1" s="1" t="s">
        <v>118</v>
      </c>
      <c r="B1" s="1" t="s">
        <v>119</v>
      </c>
    </row>
    <row r="2" ht="15" spans="1:2">
      <c r="A2" s="2">
        <v>15000</v>
      </c>
      <c r="B2" s="2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DG</vt:lpstr>
      <vt:lpstr>ES</vt:lpstr>
      <vt:lpstr>Branch</vt:lpstr>
      <vt:lpstr>Node</vt:lpstr>
      <vt:lpstr>Load</vt:lpstr>
      <vt:lpstr>RES</vt:lpstr>
      <vt:lpstr>P_EX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雷克波</dc:creator>
  <cp:lastModifiedBy>许丹阳</cp:lastModifiedBy>
  <dcterms:created xsi:type="dcterms:W3CDTF">2021-09-22T01:21:00Z</dcterms:created>
  <dcterms:modified xsi:type="dcterms:W3CDTF">2026-05-25T08:42:30Z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313C6C1B3EE144C29E6983550EE8597D_12</vt:lpwstr>
  </property>
  <property fmtid="{D5CDD505-2E9C-101B-9397-08002B2CF9AE}" pid="4" name="CalculationRule">
    <vt:i4>0</vt:i4>
  </property>
</Properties>
</file>